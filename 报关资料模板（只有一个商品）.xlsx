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委托书" sheetId="5" r:id="rId1"/>
    <sheet name="报关单" sheetId="1" r:id="rId2"/>
    <sheet name="合同" sheetId="2" r:id="rId3"/>
    <sheet name="发票" sheetId="3" r:id="rId4"/>
    <sheet name="箱单" sheetId="4" r:id="rId5"/>
    <sheet name="申报要素" sheetId="6" r:id="rId6"/>
    <sheet name="填制规范" sheetId="7" r:id="rId7"/>
  </sheets>
  <definedNames>
    <definedName name="_xlnm.Print_Area" localSheetId="1">报关单!$A$1:$S$22</definedName>
    <definedName name="_xlnm.Print_Area" localSheetId="2">合同!$A$1:$I$59</definedName>
    <definedName name="_xlnm.Print_Area" localSheetId="5">申报要素!$A$7:$I$24</definedName>
    <definedName name="_xlnm.Print_Area" localSheetId="0">委托书!$A$1:$J$49</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<sst xmlns="http://schemas.openxmlformats.org/spreadsheetml/2006/main" count="374" uniqueCount="331">
  <si>
    <t>代 理 报 关 委 托 书</t>
  </si>
  <si>
    <t>编号：00451437006</t>
  </si>
  <si>
    <r>
      <t xml:space="preserve">     我单位现  </t>
    </r>
    <r>
      <rPr>
        <b/>
        <sz val="10"/>
        <rFont val="宋体"/>
        <charset val="134"/>
      </rPr>
      <t>A</t>
    </r>
    <r>
      <rPr>
        <sz val="10"/>
        <rFont val="宋体"/>
        <charset val="134"/>
      </rPr>
      <t xml:space="preserve">   (A逐票、B长期)委托贵公司代理   </t>
    </r>
    <r>
      <rPr>
        <b/>
        <sz val="10"/>
        <rFont val="宋体"/>
        <charset val="134"/>
      </rPr>
      <t>AB</t>
    </r>
    <r>
      <rPr>
        <sz val="10"/>
        <rFont val="宋体"/>
        <charset val="134"/>
      </rPr>
      <t xml:space="preserve">  等通关事宜。（A、填单申报 B、辅助查验 C、</t>
    </r>
  </si>
  <si>
    <t>垫缴税款 D、办理海关证明联 E、审批手册 F、核销手册 G、申办减免税手续 H、其他 ）详见《委托报关协</t>
  </si>
  <si>
    <t>议》。</t>
  </si>
  <si>
    <t xml:space="preserve">    我单位保证遵守《海关法》和国家有关法规，保证所提供的情况真实、完整、单货相符，无侵犯他</t>
  </si>
  <si>
    <t>人知识产权的行为。否则，愿承担相关法律责任。</t>
  </si>
  <si>
    <t xml:space="preserve">    本委托书有效期自签字之日起至     </t>
  </si>
  <si>
    <t xml:space="preserve">    2025 年 12 月 31 日止。</t>
  </si>
  <si>
    <t>委托方（盖章）：</t>
  </si>
  <si>
    <t>法定代表人或其授权签署《代理报关委托书》的人（签字）</t>
  </si>
  <si>
    <t xml:space="preserve">   委 托 报 关 协 议</t>
  </si>
  <si>
    <t>为明确委托报关具体事项和各自责任，双方经平等协商签定协议如下：</t>
  </si>
  <si>
    <t>委托方</t>
  </si>
  <si>
    <t>被委托方</t>
  </si>
  <si>
    <t>主要货物名称</t>
  </si>
  <si>
    <t>*报关单编码</t>
  </si>
  <si>
    <t>HS编码</t>
  </si>
  <si>
    <t>收到单证日期</t>
  </si>
  <si>
    <t>货物总价</t>
  </si>
  <si>
    <t>收到单证情况</t>
  </si>
  <si>
    <t>合同□√</t>
  </si>
  <si>
    <t>发票□√</t>
  </si>
  <si>
    <t>进出口日期</t>
  </si>
  <si>
    <t>装箱清单□√</t>
  </si>
  <si>
    <t>提（运）单□</t>
  </si>
  <si>
    <t>提单号</t>
  </si>
  <si>
    <t>加工贸易手册□</t>
  </si>
  <si>
    <t>许可证件□</t>
  </si>
  <si>
    <t>贸易方式</t>
  </si>
  <si>
    <t xml:space="preserve">  其他</t>
  </si>
  <si>
    <t>原产地/货源地</t>
  </si>
  <si>
    <t>报关收费</t>
  </si>
  <si>
    <t xml:space="preserve">  人民币：       元</t>
  </si>
  <si>
    <t>其他要求：</t>
  </si>
  <si>
    <t>承诺说明：</t>
  </si>
  <si>
    <t>背面所列通用条款是本协议不可分割的一部分，对本协议的签署构成了对背面通用条款的同意。</t>
  </si>
  <si>
    <t>委托方业务签章：</t>
  </si>
  <si>
    <t>被委托方业务签章：</t>
  </si>
  <si>
    <t>经办人签章：</t>
  </si>
  <si>
    <t>经办报关员签章：</t>
  </si>
  <si>
    <t>联系电话：</t>
  </si>
  <si>
    <t xml:space="preserve">  （白联：海关留存、黄联：被委托方留存、红联：委托方留存）</t>
  </si>
  <si>
    <t>中国报关协会监制</t>
  </si>
  <si>
    <t>中华人民共和国海关出口货物报关单</t>
  </si>
  <si>
    <t>预录入编号：</t>
  </si>
  <si>
    <t>申报口岸:</t>
  </si>
  <si>
    <t>海关编号:</t>
  </si>
  <si>
    <t>境内发货人</t>
  </si>
  <si>
    <t>9144030078527617XT</t>
  </si>
  <si>
    <t>出境关别</t>
  </si>
  <si>
    <t>(    )</t>
  </si>
  <si>
    <t>出口日期</t>
  </si>
  <si>
    <t>申报日期</t>
  </si>
  <si>
    <t>备案号</t>
  </si>
  <si>
    <t>签约地点：</t>
  </si>
  <si>
    <t>深圳</t>
  </si>
  <si>
    <t>深圳市比苛电池有限公司</t>
  </si>
  <si>
    <t>皇岗口岸</t>
  </si>
  <si>
    <t>成交方式:</t>
  </si>
  <si>
    <t>SHENZHEN</t>
  </si>
  <si>
    <t>付款条件：</t>
  </si>
  <si>
    <t>电汇</t>
  </si>
  <si>
    <t>境外收货人</t>
  </si>
  <si>
    <t>AEO：</t>
  </si>
  <si>
    <t>运输方式</t>
  </si>
  <si>
    <t>运输工具名称及航次号</t>
  </si>
  <si>
    <t>提运单号</t>
  </si>
  <si>
    <t>卖方公司：</t>
  </si>
  <si>
    <t>DURNERGY Inc.</t>
  </si>
  <si>
    <t>卖方地址：</t>
  </si>
  <si>
    <t>深圳市龙华区民塘路328号鸿荣源北路中心B座9层</t>
  </si>
  <si>
    <t>生产销售单位</t>
  </si>
  <si>
    <t>监管方式</t>
  </si>
  <si>
    <t>征免性质</t>
  </si>
  <si>
    <t>许可证号</t>
  </si>
  <si>
    <t>卖方电话：</t>
  </si>
  <si>
    <t>0755-86670672</t>
  </si>
  <si>
    <t>卖方传真：</t>
  </si>
  <si>
    <t>0755-86670609</t>
  </si>
  <si>
    <t>一般贸易</t>
  </si>
  <si>
    <t>一般征税</t>
  </si>
  <si>
    <t>买方公司：</t>
  </si>
  <si>
    <t>合同协议号</t>
  </si>
  <si>
    <t>贸易国(地区)</t>
  </si>
  <si>
    <t>运抵国(地区)</t>
  </si>
  <si>
    <t>指运港</t>
  </si>
  <si>
    <t>离境口岸</t>
  </si>
  <si>
    <t>(    )跨境的才需要申报</t>
  </si>
  <si>
    <t>买方地址：</t>
  </si>
  <si>
    <t>Lot C1, Que Vo IP, Van Duong Ward, Bac Ninh city, Bac Ninh Province, Vietnam</t>
  </si>
  <si>
    <t>PK-260512006</t>
  </si>
  <si>
    <t>美国</t>
  </si>
  <si>
    <t>买方电话：</t>
  </si>
  <si>
    <t>+84-2222 3634300</t>
  </si>
  <si>
    <t>买方传真：</t>
  </si>
  <si>
    <t>+84-2222 3634308</t>
  </si>
  <si>
    <t>包装种类</t>
  </si>
  <si>
    <t>件数</t>
  </si>
  <si>
    <t>毛重（千克）</t>
  </si>
  <si>
    <t>净重（千克）</t>
  </si>
  <si>
    <t>成交方式</t>
  </si>
  <si>
    <t>(  )</t>
  </si>
  <si>
    <t>运费</t>
  </si>
  <si>
    <t>保费</t>
  </si>
  <si>
    <t>杂费</t>
  </si>
  <si>
    <t>报关简称：</t>
  </si>
  <si>
    <t>报关全称：</t>
  </si>
  <si>
    <t>纸箱</t>
  </si>
  <si>
    <t>FOB</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</si>
  <si>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</si>
  <si>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</si>
  <si>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</si>
  <si>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</si>
  <si>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</si>
  <si>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</si>
  <si>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</si>
  <si>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</si>
  <si>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</si>
  <si>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</si>
  <si>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</si>
  <si>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</si>
  <si>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</si>
  <si>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</si>
  <si>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</si>
  <si>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</si>
  <si>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</si>
  <si>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</si>
  <si>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</si>
  <si>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</si>
  <si>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</si>
  <si>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</si>
  <si>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</si>
  <si>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</si>
  <si>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</si>
  <si>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</si>
  <si>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</si>
  <si>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</si>
  <si>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</si>
  <si>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</si>
  <si>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</si>
  <si>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</si>
  <si>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</si>
  <si>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</si>
  <si>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锂电池</t>
  </si>
  <si>
    <t>中国</t>
  </si>
  <si>
    <t>照章征税</t>
  </si>
  <si>
    <t>1|2|玩具用|方形|锂离子|PKCELL|LP502030|250mAh|不含汞|3.7V  比能量133.44WH/KG</t>
  </si>
  <si>
    <t>个</t>
  </si>
  <si>
    <t>美元</t>
  </si>
  <si>
    <t>表格制作单位：深圳市长来运报关有限公司QQ1152276688</t>
  </si>
  <si>
    <r>
      <t>合</t>
    </r>
    <r>
      <rPr>
        <b/>
        <sz val="24"/>
        <rFont val="Times New Roman"/>
        <family val="1"/>
        <charset val="0"/>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family val="1"/>
        <charset val="0"/>
      </rPr>
      <t>CONTRACT</t>
    </r>
  </si>
  <si>
    <r>
      <t xml:space="preserve">       </t>
    </r>
    <r>
      <rPr>
        <sz val="11"/>
        <rFont val="宋体"/>
        <charset val="134"/>
      </rPr>
      <t>卖</t>
    </r>
    <r>
      <rPr>
        <sz val="11"/>
        <rFont val="Times New Roman"/>
        <family val="1"/>
        <charset val="0"/>
      </rPr>
      <t xml:space="preserve">    </t>
    </r>
    <r>
      <rPr>
        <sz val="11"/>
        <rFont val="宋体"/>
        <charset val="134"/>
      </rPr>
      <t>方：</t>
    </r>
  </si>
  <si>
    <t xml:space="preserve">    Sellers:</t>
  </si>
  <si>
    <r>
      <t xml:space="preserve">    </t>
    </r>
    <r>
      <rPr>
        <sz val="11"/>
        <rFont val="宋体"/>
        <charset val="134"/>
      </rPr>
      <t>地</t>
    </r>
    <r>
      <rPr>
        <sz val="11"/>
        <rFont val="Times New Roman"/>
        <family val="1"/>
        <charset val="0"/>
      </rPr>
      <t xml:space="preserve">    </t>
    </r>
    <r>
      <rPr>
        <sz val="11"/>
        <rFont val="宋体"/>
        <charset val="134"/>
      </rPr>
      <t>址：</t>
    </r>
  </si>
  <si>
    <t xml:space="preserve"> Address:  </t>
  </si>
  <si>
    <r>
      <t xml:space="preserve">    </t>
    </r>
    <r>
      <rPr>
        <sz val="11"/>
        <rFont val="宋体"/>
        <charset val="134"/>
      </rPr>
      <t>合同号码</t>
    </r>
  </si>
  <si>
    <r>
      <t xml:space="preserve">    </t>
    </r>
    <r>
      <rPr>
        <sz val="11"/>
        <rFont val="宋体"/>
        <charset val="134"/>
      </rPr>
      <t>电</t>
    </r>
    <r>
      <rPr>
        <sz val="11"/>
        <rFont val="Times New Roman"/>
        <family val="1"/>
        <charset val="0"/>
      </rPr>
      <t xml:space="preserve">    </t>
    </r>
    <r>
      <rPr>
        <sz val="11"/>
        <rFont val="宋体"/>
        <charset val="134"/>
      </rPr>
      <t>话：</t>
    </r>
    <r>
      <rPr>
        <sz val="11"/>
        <rFont val="Times New Roman"/>
        <family val="1"/>
        <charset val="0"/>
      </rPr>
      <t xml:space="preserve">     </t>
    </r>
  </si>
  <si>
    <t>传  真</t>
  </si>
  <si>
    <t xml:space="preserve">  Contract No:</t>
  </si>
  <si>
    <t xml:space="preserve">    TEL:</t>
  </si>
  <si>
    <t>FAX:</t>
  </si>
  <si>
    <r>
      <t xml:space="preserve">    </t>
    </r>
    <r>
      <rPr>
        <sz val="11"/>
        <rFont val="宋体"/>
        <charset val="134"/>
      </rPr>
      <t>日</t>
    </r>
    <r>
      <rPr>
        <sz val="11"/>
        <rFont val="Times New Roman"/>
        <family val="1"/>
        <charset val="0"/>
      </rPr>
      <t xml:space="preserve">     </t>
    </r>
    <r>
      <rPr>
        <sz val="11"/>
        <rFont val="宋体"/>
        <charset val="134"/>
      </rPr>
      <t>期</t>
    </r>
  </si>
  <si>
    <r>
      <t xml:space="preserve">  买</t>
    </r>
    <r>
      <rPr>
        <sz val="11"/>
        <rFont val="Times New Roman"/>
        <family val="1"/>
        <charset val="0"/>
      </rPr>
      <t xml:space="preserve">  </t>
    </r>
    <r>
      <rPr>
        <sz val="11"/>
        <rFont val="宋体"/>
        <charset val="134"/>
      </rPr>
      <t>方：</t>
    </r>
  </si>
  <si>
    <t xml:space="preserve">    Date:</t>
  </si>
  <si>
    <r>
      <t xml:space="preserve">  Buyers</t>
    </r>
    <r>
      <rPr>
        <sz val="11"/>
        <rFont val="宋体"/>
        <charset val="134"/>
      </rPr>
      <t>：</t>
    </r>
  </si>
  <si>
    <t>签约地点</t>
  </si>
  <si>
    <r>
      <t xml:space="preserve">  </t>
    </r>
    <r>
      <rPr>
        <sz val="11"/>
        <rFont val="宋体"/>
        <charset val="134"/>
      </rPr>
      <t>地</t>
    </r>
    <r>
      <rPr>
        <sz val="11"/>
        <rFont val="Times New Roman"/>
        <family val="1"/>
        <charset val="0"/>
      </rPr>
      <t xml:space="preserve">   </t>
    </r>
    <r>
      <rPr>
        <sz val="11"/>
        <rFont val="宋体"/>
        <charset val="134"/>
      </rPr>
      <t>址：</t>
    </r>
  </si>
  <si>
    <t xml:space="preserve">  Signed at:</t>
  </si>
  <si>
    <t>Address:</t>
  </si>
  <si>
    <t>成交方式：
Trade Term:</t>
  </si>
  <si>
    <r>
      <t xml:space="preserve"> </t>
    </r>
    <r>
      <rPr>
        <sz val="11"/>
        <rFont val="宋体"/>
        <charset val="134"/>
      </rPr>
      <t>电</t>
    </r>
    <r>
      <rPr>
        <sz val="11"/>
        <rFont val="Times New Roman"/>
        <family val="1"/>
        <charset val="0"/>
      </rPr>
      <t xml:space="preserve">   </t>
    </r>
    <r>
      <rPr>
        <sz val="11"/>
        <rFont val="宋体"/>
        <charset val="134"/>
      </rPr>
      <t>话</t>
    </r>
    <r>
      <rPr>
        <sz val="11"/>
        <rFont val="Times New Roman"/>
        <family val="1"/>
        <charset val="0"/>
      </rPr>
      <t xml:space="preserve"> </t>
    </r>
  </si>
  <si>
    <r>
      <t xml:space="preserve">  </t>
    </r>
    <r>
      <rPr>
        <sz val="10"/>
        <rFont val="宋体"/>
        <charset val="134"/>
      </rPr>
      <t>传</t>
    </r>
    <r>
      <rPr>
        <sz val="10"/>
        <rFont val="Times New Roman"/>
        <family val="1"/>
        <charset val="0"/>
      </rPr>
      <t xml:space="preserve">  </t>
    </r>
    <r>
      <rPr>
        <sz val="10"/>
        <rFont val="宋体"/>
        <charset val="134"/>
      </rPr>
      <t>真</t>
    </r>
    <r>
      <rPr>
        <sz val="10"/>
        <rFont val="Times New Roman"/>
        <family val="1"/>
        <charset val="0"/>
      </rPr>
      <t xml:space="preserve">  </t>
    </r>
  </si>
  <si>
    <t xml:space="preserve"> TEL:</t>
  </si>
  <si>
    <t>经买卖双方确认根据下列条款订立本合同</t>
  </si>
  <si>
    <t>This contract is made out by the Sellers and Buyers as per the following terms and conditions mutuilly confirmed:</t>
  </si>
  <si>
    <r>
      <t>(1)</t>
    </r>
    <r>
      <rPr>
        <sz val="11"/>
        <rFont val="宋体"/>
        <charset val="134"/>
      </rPr>
      <t>货物名称</t>
    </r>
  </si>
  <si>
    <r>
      <t xml:space="preserve">(2) </t>
    </r>
    <r>
      <rPr>
        <sz val="11"/>
        <rFont val="宋体"/>
        <charset val="134"/>
      </rPr>
      <t>数</t>
    </r>
    <r>
      <rPr>
        <sz val="11"/>
        <rFont val="Times New Roman"/>
        <family val="1"/>
        <charset val="0"/>
      </rPr>
      <t xml:space="preserve"> </t>
    </r>
    <r>
      <rPr>
        <sz val="11"/>
        <rFont val="宋体"/>
        <charset val="134"/>
      </rPr>
      <t>量</t>
    </r>
  </si>
  <si>
    <r>
      <t>(3)</t>
    </r>
    <r>
      <rPr>
        <sz val="11"/>
        <rFont val="宋体"/>
        <charset val="134"/>
      </rPr>
      <t>单</t>
    </r>
    <r>
      <rPr>
        <sz val="11"/>
        <rFont val="Times New Roman"/>
        <family val="1"/>
        <charset val="0"/>
      </rPr>
      <t xml:space="preserve"> </t>
    </r>
    <r>
      <rPr>
        <sz val="11"/>
        <rFont val="宋体"/>
        <charset val="134"/>
      </rPr>
      <t>位</t>
    </r>
  </si>
  <si>
    <r>
      <t>(4)</t>
    </r>
    <r>
      <rPr>
        <sz val="11"/>
        <rFont val="宋体"/>
        <charset val="134"/>
      </rPr>
      <t>单价</t>
    </r>
  </si>
  <si>
    <r>
      <t xml:space="preserve"> (5)   </t>
    </r>
    <r>
      <rPr>
        <sz val="11"/>
        <rFont val="宋体"/>
        <charset val="134"/>
      </rPr>
      <t>金</t>
    </r>
    <r>
      <rPr>
        <sz val="11"/>
        <rFont val="Times New Roman"/>
        <family val="1"/>
        <charset val="0"/>
      </rPr>
      <t xml:space="preserve">  </t>
    </r>
    <r>
      <rPr>
        <sz val="11"/>
        <rFont val="宋体"/>
        <charset val="134"/>
      </rPr>
      <t>额</t>
    </r>
  </si>
  <si>
    <t xml:space="preserve">Name of commodity </t>
  </si>
  <si>
    <t>Quantity</t>
  </si>
  <si>
    <t>Unit</t>
  </si>
  <si>
    <t>Unit Price</t>
  </si>
  <si>
    <t>Amount</t>
  </si>
  <si>
    <r>
      <t>数量及总值允许有</t>
    </r>
    <r>
      <rPr>
        <sz val="10"/>
        <rFont val="Times New Roman"/>
        <family val="1"/>
        <charset val="0"/>
      </rPr>
      <t xml:space="preserve"> 2 %</t>
    </r>
    <r>
      <rPr>
        <sz val="10"/>
        <rFont val="宋体"/>
        <charset val="134"/>
      </rPr>
      <t>的增减。</t>
    </r>
  </si>
  <si>
    <r>
      <t xml:space="preserve">   </t>
    </r>
    <r>
      <rPr>
        <b/>
        <sz val="12"/>
        <rFont val="宋体"/>
        <charset val="134"/>
      </rPr>
      <t>总</t>
    </r>
    <r>
      <rPr>
        <b/>
        <sz val="12"/>
        <rFont val="Times New Roman"/>
        <family val="1"/>
        <charset val="0"/>
      </rPr>
      <t xml:space="preserve">      </t>
    </r>
    <r>
      <rPr>
        <b/>
        <sz val="12"/>
        <rFont val="宋体"/>
        <charset val="134"/>
      </rPr>
      <t>值</t>
    </r>
  </si>
  <si>
    <t xml:space="preserve">2  % more or less both in amount and quantity allowed.                    </t>
  </si>
  <si>
    <t>Total Amount:</t>
  </si>
  <si>
    <t>(6)合同总值（大写）</t>
  </si>
  <si>
    <t xml:space="preserve">Total Value in Word:  FORTY TWO THOUSAND FOUR HUNDRED AND SEVENTY THREE AND CENTS TWENTY EIGHT ONLY. </t>
  </si>
  <si>
    <r>
      <t>(7)</t>
    </r>
    <r>
      <rPr>
        <sz val="12"/>
        <rFont val="宋体"/>
        <charset val="134"/>
      </rPr>
      <t>包装及唛头</t>
    </r>
  </si>
  <si>
    <r>
      <t xml:space="preserve">Packing and shipping Marks:  </t>
    </r>
    <r>
      <rPr>
        <sz val="12"/>
        <rFont val="Times New Roman"/>
        <family val="1"/>
        <charset val="0"/>
      </rPr>
      <t xml:space="preserve"> </t>
    </r>
  </si>
  <si>
    <r>
      <t>(8)</t>
    </r>
    <r>
      <rPr>
        <sz val="12"/>
        <rFont val="宋体"/>
        <charset val="134"/>
      </rPr>
      <t>装运期</t>
    </r>
  </si>
  <si>
    <t xml:space="preserve">Time of Shipment:    </t>
  </si>
  <si>
    <t>之前</t>
  </si>
  <si>
    <r>
      <t>(9)</t>
    </r>
    <r>
      <rPr>
        <sz val="12"/>
        <rFont val="宋体"/>
        <charset val="134"/>
      </rPr>
      <t>装运口岸和目的地</t>
    </r>
    <r>
      <rPr>
        <sz val="12"/>
        <rFont val="Times New Roman"/>
        <family val="1"/>
        <charset val="0"/>
      </rPr>
      <t xml:space="preserve">           </t>
    </r>
    <r>
      <rPr>
        <sz val="12"/>
        <rFont val="宋体"/>
        <charset val="134"/>
      </rPr>
      <t>深圳</t>
    </r>
    <r>
      <rPr>
        <sz val="12"/>
        <rFont val="Times New Roman"/>
        <family val="1"/>
        <charset val="0"/>
      </rPr>
      <t>---</t>
    </r>
  </si>
  <si>
    <t>准许分批与转船。</t>
  </si>
  <si>
    <t>Loading Port &amp; Destination:From  Shenzhen-- To Hongkong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</si>
  <si>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</si>
  <si>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</si>
  <si>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</si>
  <si>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</si>
  <si>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t>(12)</t>
    </r>
    <r>
      <rPr>
        <sz val="12"/>
        <rFont val="宋体"/>
        <charset val="134"/>
      </rPr>
      <t>装运标记</t>
    </r>
  </si>
  <si>
    <t>Shipping Marks:</t>
  </si>
  <si>
    <r>
      <t xml:space="preserve">    </t>
    </r>
    <r>
      <rPr>
        <sz val="12"/>
        <rFont val="宋体"/>
        <charset val="134"/>
      </rPr>
      <t>买</t>
    </r>
    <r>
      <rPr>
        <sz val="12"/>
        <rFont val="Times New Roman"/>
        <family val="1"/>
        <charset val="0"/>
      </rPr>
      <t xml:space="preserve">  </t>
    </r>
    <r>
      <rPr>
        <sz val="12"/>
        <rFont val="宋体"/>
        <charset val="134"/>
      </rPr>
      <t>方</t>
    </r>
  </si>
  <si>
    <r>
      <t xml:space="preserve">    </t>
    </r>
    <r>
      <rPr>
        <sz val="12"/>
        <rFont val="宋体"/>
        <charset val="134"/>
      </rPr>
      <t>卖</t>
    </r>
    <r>
      <rPr>
        <sz val="12"/>
        <rFont val="Times New Roman"/>
        <family val="1"/>
        <charset val="0"/>
      </rPr>
      <t xml:space="preserve">  </t>
    </r>
    <r>
      <rPr>
        <sz val="12"/>
        <rFont val="宋体"/>
        <charset val="134"/>
      </rPr>
      <t>方</t>
    </r>
  </si>
  <si>
    <t>THE BUYERS</t>
  </si>
  <si>
    <r>
      <t xml:space="preserve">  </t>
    </r>
    <r>
      <rPr>
        <u/>
        <sz val="12"/>
        <rFont val="Times New Roman"/>
        <family val="1"/>
        <charset val="0"/>
      </rPr>
      <t>THE SELLERS</t>
    </r>
  </si>
  <si>
    <t>(Authorized Signature)</t>
  </si>
  <si>
    <t>發票
INVOICE</t>
  </si>
  <si>
    <t>編   號
NO:</t>
  </si>
  <si>
    <t>商  號
Sold to Massrs:</t>
  </si>
  <si>
    <t>日  期
DATE:</t>
  </si>
  <si>
    <t>成交方式：</t>
  </si>
  <si>
    <t>標記號碼
Mark &amp; No</t>
  </si>
  <si>
    <t>貨物名稱
Description</t>
  </si>
  <si>
    <t>數量
Quantity</t>
  </si>
  <si>
    <t>單價
Unit price</t>
  </si>
  <si>
    <t>總金額
Amount</t>
  </si>
  <si>
    <t>TOTAL:</t>
  </si>
  <si>
    <t>唛头
Marks</t>
  </si>
  <si>
    <t xml:space="preserve">  装  箱  单
  PACKING LIST</t>
  </si>
  <si>
    <r>
      <t>日期</t>
    </r>
    <r>
      <rPr>
        <sz val="12"/>
        <rFont val="Times New Roman"/>
        <family val="1"/>
        <charset val="0"/>
      </rPr>
      <t xml:space="preserve">
Date</t>
    </r>
    <r>
      <rPr>
        <sz val="12"/>
        <rFont val="宋体"/>
        <charset val="134"/>
      </rPr>
      <t>：</t>
    </r>
  </si>
  <si>
    <r>
      <t>发票编号</t>
    </r>
    <r>
      <rPr>
        <sz val="12"/>
        <rFont val="Times New Roman"/>
        <family val="1"/>
        <charset val="0"/>
      </rPr>
      <t xml:space="preserve">
Invoice No:</t>
    </r>
  </si>
  <si>
    <r>
      <t>客户</t>
    </r>
    <r>
      <rPr>
        <sz val="11"/>
        <rFont val="宋体"/>
        <charset val="134"/>
      </rPr>
      <t xml:space="preserve">
To Messrs:</t>
    </r>
  </si>
  <si>
    <r>
      <t>合同号</t>
    </r>
    <r>
      <rPr>
        <sz val="12"/>
        <rFont val="Times New Roman"/>
        <family val="1"/>
        <charset val="0"/>
      </rPr>
      <t xml:space="preserve">
Contract No:</t>
    </r>
  </si>
  <si>
    <t xml:space="preserve">
</t>
  </si>
  <si>
    <r>
      <t>船名</t>
    </r>
    <r>
      <rPr>
        <sz val="12"/>
        <rFont val="Times New Roman"/>
        <family val="1"/>
        <charset val="0"/>
      </rPr>
      <t xml:space="preserve">
Shipped by</t>
    </r>
    <r>
      <rPr>
        <sz val="12"/>
        <rFont val="宋体"/>
        <charset val="134"/>
      </rPr>
      <t>：</t>
    </r>
  </si>
  <si>
    <t>由  深圳  至</t>
  </si>
  <si>
    <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</si>
  <si>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</si>
  <si>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</si>
  <si>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</si>
  <si>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</si>
  <si>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</si>
  <si>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</si>
  <si>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</si>
  <si>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</si>
  <si>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</si>
  <si>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</si>
  <si>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</si>
  <si>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</si>
  <si>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</si>
  <si>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</si>
  <si>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</si>
  <si>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</si>
  <si>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</si>
  <si>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</si>
  <si>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品牌类型</t>
  </si>
  <si>
    <t>出口享惠情况</t>
  </si>
  <si>
    <t>其他申报要素</t>
  </si>
  <si>
    <t>0无品牌</t>
  </si>
  <si>
    <t>0不享惠</t>
  </si>
  <si>
    <t>1境内自主</t>
  </si>
  <si>
    <t>1享惠</t>
  </si>
  <si>
    <t>2境内收购</t>
  </si>
  <si>
    <t>2不确定享惠</t>
  </si>
  <si>
    <t>3境外贴牌</t>
  </si>
  <si>
    <t>4境外其他</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</si>
  <si>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</si>
  <si>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</si>
  <si>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</si>
  <si>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</si>
  <si>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</si>
  <si>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</si>
  <si>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</si>
  <si>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</si>
  <si>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</si>
  <si>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</si>
  <si>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</si>
  <si>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</si>
  <si>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</si>
  <si>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</si>
  <si>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</si>
  <si>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</si>
  <si>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</si>
  <si>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t>填报进口货物在运抵我国关境前的</t>
    </r>
    <r>
      <rPr>
        <sz val="12"/>
        <color indexed="10"/>
        <rFont val="宋体"/>
        <charset val="134"/>
      </rPr>
      <t>第一个境外</t>
    </r>
    <r>
      <rPr>
        <sz val="12"/>
        <rFont val="宋体"/>
        <charset val="134"/>
      </rPr>
      <t>装运港。</t>
    </r>
  </si>
  <si>
    <t>填报进出口货物合同（包括协议或订单）编号。未发生商业性交易的免予填报。</t>
  </si>
  <si>
    <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</si>
  <si>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</si>
  <si>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</si>
  <si>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</si>
  <si>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</si>
  <si>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</si>
  <si>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t>经停港填报进口货物在运抵我国关境前的</t>
    </r>
    <r>
      <rPr>
        <sz val="12"/>
        <color indexed="10"/>
        <rFont val="宋体"/>
        <charset val="134"/>
      </rPr>
      <t>最后一个境外装运港。</t>
    </r>
  </si>
  <si>
    <t>指运港-出口</t>
  </si>
  <si>
    <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</si>
  <si>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</si>
  <si>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</si>
  <si>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</si>
  <si>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</si>
  <si>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</si>
  <si>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</si>
  <si>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</si>
  <si>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</si>
  <si>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</si>
  <si>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</si>
  <si>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</si>
  <si>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</si>
  <si>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</si>
  <si>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</si>
  <si>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</si>
  <si>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</si>
  <si>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t>填报由13位数字组成的商品编号。</t>
    </r>
    <r>
      <rPr>
        <sz val="12"/>
        <rFont val="宋体"/>
        <charset val="134"/>
      </rPr>
      <t>前8位为《中华人民共和国进出口税则》和《中华人民共和国海关统计商品目录》确定的编码；9、10位为监管附加编号，</t>
    </r>
    <r>
      <rPr>
        <sz val="12"/>
        <color indexed="1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</si>
  <si>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</si>
  <si>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</si>
  <si>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</si>
  <si>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</si>
  <si>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</si>
  <si>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t>填报同一项号下进出口货物实际成交的商品单位价格。</t>
    </r>
    <r>
      <rPr>
        <sz val="12"/>
        <color indexed="10"/>
        <rFont val="宋体"/>
        <charset val="134"/>
      </rPr>
      <t>无实际成交价格的，填报单位货值。</t>
    </r>
  </si>
  <si>
    <t>总价</t>
  </si>
  <si>
    <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</si>
  <si>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</si>
  <si>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</si>
  <si>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</si>
  <si>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t>最终目的国（地区）填报已知的进出口货物的最终实际消费、使用或进一步加工制造国家（地区）。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以尽可能预知的最后运往国（地区）为最终目的国（地区）。</t>
  </si>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</sst>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_);[Red]\(0.0000\)"/>
    <numFmt numFmtId="178" formatCode="0.000_);[Red]\(0.000\)"/>
    <numFmt numFmtId="179" formatCode="0.00_);[Red]\(0.00\)"/>
    <numFmt numFmtId="180" formatCode="[DBNum2][$RMB]General;[Red][DBNum2][$RMB]General"/>
    <numFmt numFmtId="181" formatCode="#,##0.00_);[Red]\(#,##0.00\)"/>
    <numFmt numFmtId="182" formatCode="[$HKD]\ #,##0.00"/>
    <numFmt numFmtId="183" formatCode="[DBNum2][$-804]\ General&quot;元整&quot;"/>
    <numFmt numFmtId="184" formatCode="yyyy&quot;年&quot;m&quot;月&quot;d&quot;日&quot;;@"/>
  </numFmts>
  <fonts count="58">
    <font>
      <sz val="12"/>
      <name val="宋体"/>
      <charset val="134"/>
    </font>
    <font>
      <sz val="12"/>
      <color rgb="FFFF0000"/>
      <name val="宋体"/>
      <charset val="134"/>
    </font>
    <font>
      <b/>
      <sz val="12"/>
      <name val="宋体"/>
      <charset val="134"/>
    </font>
    <font>
      <sz val="10"/>
      <name val="宋体"/>
      <charset val="134"/>
    </font>
    <font>
      <b/>
      <sz val="12"/>
      <color rgb="FFFF0000"/>
      <name val="宋体"/>
      <charset val="134"/>
    </font>
    <font>
      <u/>
      <sz val="11"/>
      <color rgb="FF0000FF"/>
      <name val="宋体"/>
      <charset val="134"/>
      <scheme val="minor"/>
    </font>
    <font>
      <sz val="20"/>
      <name val="宋体"/>
      <charset val="134"/>
    </font>
    <font>
      <sz val="11"/>
      <name val="宋体"/>
      <charset val="134"/>
    </font>
    <font>
      <sz val="12"/>
      <name val="Times New Roman"/>
      <family val="1"/>
      <charset val="0"/>
    </font>
    <font>
      <b/>
      <sz val="22"/>
      <name val="宋体"/>
      <charset val="134"/>
    </font>
    <font>
      <sz val="22"/>
      <name val="宋体"/>
      <charset val="134"/>
    </font>
    <font>
      <sz val="20"/>
      <name val="Times New Roman"/>
      <family val="1"/>
      <charset val="0"/>
    </font>
    <font>
      <sz val="16"/>
      <name val="Times New Roman"/>
      <family val="1"/>
      <charset val="0"/>
    </font>
    <font>
      <sz val="10"/>
      <name val="Times New Roman"/>
      <family val="1"/>
      <charset val="0"/>
    </font>
    <font>
      <sz val="12"/>
      <color indexed="10"/>
      <name val="宋体"/>
      <charset val="134"/>
    </font>
    <font>
      <sz val="11"/>
      <name val="Times New Roman"/>
      <family val="1"/>
      <charset val="0"/>
    </font>
    <font>
      <b/>
      <sz val="24"/>
      <name val="宋体"/>
      <charset val="134"/>
    </font>
    <font>
      <sz val="24"/>
      <name val="宋体"/>
      <charset val="134"/>
    </font>
    <font>
      <b/>
      <sz val="14"/>
      <name val="宋体"/>
      <charset val="134"/>
    </font>
    <font>
      <sz val="10"/>
      <name val="宋体"/>
      <charset val="134"/>
      <scheme val="minor"/>
    </font>
    <font>
      <b/>
      <sz val="12"/>
      <name val="Times New Roman"/>
      <family val="1"/>
      <charset val="0"/>
    </font>
    <font>
      <b/>
      <sz val="10"/>
      <name val="Times New Roman"/>
      <family val="1"/>
      <charset val="0"/>
    </font>
    <font>
      <sz val="9"/>
      <name val="Times New Roman"/>
      <family val="1"/>
      <charset val="0"/>
    </font>
    <font>
      <u/>
      <sz val="12"/>
      <name val="Times New Roman"/>
      <family val="1"/>
      <charset val="0"/>
    </font>
    <font>
      <b/>
      <sz val="20"/>
      <name val="宋体"/>
      <charset val="134"/>
    </font>
    <font>
      <sz val="10"/>
      <color rgb="FFFF0000"/>
      <name val="宋体"/>
      <charset val="134"/>
    </font>
    <font>
      <sz val="10"/>
      <color theme="1"/>
      <name val="宋体"/>
      <charset val="134"/>
      <scheme val="minor"/>
    </font>
    <font>
      <sz val="10"/>
      <color rgb="FFFF0000"/>
      <name val="宋体"/>
      <charset val="134"/>
      <scheme val="minor"/>
    </font>
    <font>
      <u/>
      <sz val="11"/>
      <color rgb="FF800080"/>
      <name val="宋体"/>
      <charset val="134"/>
      <scheme val="minor"/>
    </font>
    <font>
      <b/>
      <sz val="11"/>
      <name val="宋体"/>
      <charset val="134"/>
    </font>
    <font>
      <b/>
      <sz val="10"/>
      <name val="宋体"/>
      <charset val="134"/>
    </font>
    <font>
      <sz val="11"/>
      <color theme="8" tint="-0.499984740745262"/>
      <name val="宋体"/>
      <charset val="134"/>
    </font>
    <font>
      <sz val="12"/>
      <color theme="0" tint="-0.249977111117893"/>
      <name val="宋体"/>
      <charset val="134"/>
    </font>
    <font>
      <sz val="8"/>
      <name val="宋体"/>
      <charset val="134"/>
    </font>
    <font>
      <sz val="9"/>
      <name val="宋体"/>
      <charset val="134"/>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color indexed="10"/>
      <name val="宋体"/>
      <charset val="134"/>
    </font>
    <font>
      <b/>
      <sz val="12"/>
      <color indexed="10"/>
      <name val="宋体"/>
      <charset val="134"/>
    </font>
    <font>
      <b/>
      <sz val="24"/>
      <name val="Times New Roman"/>
      <family val="1"/>
      <charset val="0"/>
    </font>
    <font>
      <b/>
      <u/>
      <sz val="22"/>
      <name val="宋体"/>
      <charset val="134"/>
    </font>
    <font>
      <u/>
      <sz val="20"/>
      <name val="Times New Roman"/>
      <family val="1"/>
      <charset val="0"/>
    </font>
  </fonts>
  <fills count="37">
    <fill>
      <patternFill patternType="none"/>
    </fill>
    <fill>
      <patternFill patternType="gray125"/>
    </fill>
    <fill>
      <patternFill patternType="solid">
        <fgColor theme="0" tint="-0.0499893185216834"/>
        <bgColor indexed="64"/>
      </patternFill>
    </fill>
    <fill>
      <patternFill patternType="solid">
        <fgColor rgb="FFFFFF00"/>
        <bgColor indexed="64"/>
      </patternFill>
    </fill>
    <fill>
      <patternFill patternType="solid">
        <fgColor theme="0" tint="-0.149998474074526"/>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hair">
        <color auto="1"/>
      </top>
      <bottom/>
      <diagonal/>
    </border>
    <border>
      <left style="thin">
        <color auto="1"/>
      </left>
      <right/>
      <top/>
      <bottom style="hair">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6" borderId="51"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52" applyNumberFormat="0" applyFill="0" applyAlignment="0" applyProtection="0">
      <alignment vertical="center"/>
    </xf>
    <xf numFmtId="0" fontId="40" fillId="0" borderId="52" applyNumberFormat="0" applyFill="0" applyAlignment="0" applyProtection="0">
      <alignment vertical="center"/>
    </xf>
    <xf numFmtId="0" fontId="41" fillId="0" borderId="53" applyNumberFormat="0" applyFill="0" applyAlignment="0" applyProtection="0">
      <alignment vertical="center"/>
    </xf>
    <xf numFmtId="0" fontId="41" fillId="0" borderId="0" applyNumberFormat="0" applyFill="0" applyBorder="0" applyAlignment="0" applyProtection="0">
      <alignment vertical="center"/>
    </xf>
    <xf numFmtId="0" fontId="42" fillId="7" borderId="54" applyNumberFormat="0" applyAlignment="0" applyProtection="0">
      <alignment vertical="center"/>
    </xf>
    <xf numFmtId="0" fontId="43" fillId="8" borderId="55" applyNumberFormat="0" applyAlignment="0" applyProtection="0">
      <alignment vertical="center"/>
    </xf>
    <xf numFmtId="0" fontId="44" fillId="8" borderId="54" applyNumberFormat="0" applyAlignment="0" applyProtection="0">
      <alignment vertical="center"/>
    </xf>
    <xf numFmtId="0" fontId="45" fillId="9" borderId="56" applyNumberFormat="0" applyAlignment="0" applyProtection="0">
      <alignment vertical="center"/>
    </xf>
    <xf numFmtId="0" fontId="46" fillId="0" borderId="57" applyNumberFormat="0" applyFill="0" applyAlignment="0" applyProtection="0">
      <alignment vertical="center"/>
    </xf>
    <xf numFmtId="0" fontId="47" fillId="0" borderId="58" applyNumberFormat="0" applyFill="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cellStyleXfs>
  <cellXfs count="396">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2" borderId="0" xfId="0" applyFont="1" applyFill="1">
      <alignment vertical="center"/>
    </xf>
    <xf numFmtId="0" fontId="2" fillId="2" borderId="0" xfId="0" applyFont="1" applyFill="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4" fillId="0" borderId="0" xfId="0" applyFont="1" applyAlignment="1">
      <alignment horizontal="left" vertical="center"/>
    </xf>
    <xf numFmtId="0" fontId="0" fillId="0" borderId="0" xfId="0" applyFont="1" applyAlignment="1">
      <alignment horizontal="left" vertical="center"/>
    </xf>
    <xf numFmtId="0" fontId="5" fillId="0" borderId="0" xfId="6" applyAlignment="1">
      <alignment horizontal="left" vertical="center"/>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0" fillId="0" borderId="1" xfId="0" applyNumberFormat="1" applyBorder="1" applyAlignment="1">
      <alignment horizontal="center" vertical="center" wrapText="1"/>
    </xf>
    <xf numFmtId="0" fontId="8" fillId="0" borderId="0" xfId="0" applyFont="1" applyBorder="1">
      <alignment vertical="center"/>
    </xf>
    <xf numFmtId="0" fontId="8" fillId="0" borderId="0" xfId="0" applyFont="1" applyProtection="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9" fillId="0" borderId="0" xfId="0" applyFont="1" applyBorder="1" applyAlignment="1" applyProtection="1">
      <alignment horizontal="center" vertical="center" wrapText="1"/>
    </xf>
    <xf numFmtId="0" fontId="9" fillId="0" borderId="0" xfId="0" applyFont="1" applyBorder="1" applyAlignment="1" applyProtection="1">
      <alignment horizontal="left" vertical="center" wrapText="1"/>
    </xf>
    <xf numFmtId="0" fontId="10"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8" fillId="0" borderId="2" xfId="0" applyNumberFormat="1" applyFont="1" applyFill="1" applyBorder="1" applyAlignment="1" applyProtection="1">
      <alignment horizontal="left" vertical="center" wrapText="1"/>
    </xf>
    <xf numFmtId="0" fontId="8" fillId="0" borderId="0" xfId="0" applyFont="1" applyBorder="1" applyProtection="1">
      <alignment vertical="center"/>
    </xf>
    <xf numFmtId="0" fontId="11" fillId="0" borderId="0" xfId="0" applyFont="1" applyBorder="1" applyAlignment="1" applyProtection="1">
      <alignment vertical="center"/>
    </xf>
    <xf numFmtId="0" fontId="12" fillId="0" borderId="0" xfId="0" applyFont="1" applyBorder="1" applyAlignment="1" applyProtection="1">
      <alignment vertical="center"/>
    </xf>
    <xf numFmtId="0" fontId="13" fillId="0" borderId="0" xfId="0" applyFont="1" applyBorder="1" applyAlignment="1" applyProtection="1">
      <alignment horizontal="center" vertical="center" wrapText="1"/>
    </xf>
    <xf numFmtId="0" fontId="13"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8" fillId="0" borderId="2" xfId="0" applyNumberFormat="1" applyFont="1" applyFill="1" applyBorder="1" applyAlignment="1" applyProtection="1">
      <alignment horizontal="left" vertical="center" wrapText="1"/>
    </xf>
    <xf numFmtId="0" fontId="0" fillId="0" borderId="2" xfId="0" applyFont="1" applyBorder="1" applyAlignment="1" applyProtection="1">
      <alignment horizontal="left" vertical="center" wrapText="1"/>
    </xf>
    <xf numFmtId="0" fontId="8" fillId="0" borderId="2" xfId="0" applyNumberFormat="1" applyFont="1" applyBorder="1" applyAlignment="1" applyProtection="1">
      <alignment horizontal="left" vertical="center" wrapText="1"/>
    </xf>
    <xf numFmtId="0" fontId="0" fillId="0" borderId="0" xfId="0" applyBorder="1" applyAlignment="1" applyProtection="1">
      <alignment wrapText="1"/>
    </xf>
    <xf numFmtId="0" fontId="8"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14"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2" xfId="0" applyFont="1" applyBorder="1" applyAlignment="1" applyProtection="1">
      <alignment horizontal="center" vertical="top"/>
    </xf>
    <xf numFmtId="0" fontId="0" fillId="0" borderId="0" xfId="0" applyFont="1" applyBorder="1" applyAlignment="1" applyProtection="1">
      <alignment vertical="center"/>
    </xf>
    <xf numFmtId="0" fontId="8" fillId="0" borderId="0" xfId="0" applyFont="1" applyBorder="1" applyAlignment="1" applyProtection="1">
      <alignment horizontal="left" vertical="center"/>
    </xf>
    <xf numFmtId="0" fontId="0" fillId="0" borderId="0" xfId="0" applyFont="1" applyFill="1" applyBorder="1" applyAlignment="1" applyProtection="1">
      <alignment vertical="center" wrapText="1"/>
    </xf>
    <xf numFmtId="0" fontId="0" fillId="0" borderId="2"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7" fillId="0" borderId="1" xfId="0" applyFont="1" applyBorder="1" applyAlignment="1" applyProtection="1">
      <alignment horizontal="center" vertical="center" wrapText="1"/>
    </xf>
    <xf numFmtId="0" fontId="0" fillId="0" borderId="1" xfId="0" applyFont="1" applyBorder="1" applyAlignment="1" applyProtection="1">
      <alignment horizontal="left" vertical="center" wrapText="1"/>
    </xf>
    <xf numFmtId="0" fontId="0" fillId="0" borderId="3" xfId="0" applyBorder="1" applyAlignment="1" applyProtection="1">
      <alignment horizontal="center" vertical="center" wrapText="1"/>
    </xf>
    <xf numFmtId="0" fontId="8" fillId="0" borderId="4" xfId="0" applyFont="1" applyBorder="1" applyAlignment="1" applyProtection="1">
      <alignment horizontal="center" vertical="top" wrapText="1"/>
    </xf>
    <xf numFmtId="0" fontId="7" fillId="0" borderId="5" xfId="0" applyFont="1" applyBorder="1" applyAlignment="1" applyProtection="1">
      <alignment horizontal="center" vertical="center" shrinkToFit="1"/>
    </xf>
    <xf numFmtId="0" fontId="8" fillId="0" borderId="5" xfId="0" applyNumberFormat="1" applyFont="1" applyFill="1" applyBorder="1" applyAlignment="1" applyProtection="1">
      <alignment horizontal="center" vertical="center" shrinkToFit="1"/>
    </xf>
    <xf numFmtId="0" fontId="8" fillId="0" borderId="0" xfId="0" applyFont="1" applyFill="1" applyBorder="1" applyAlignment="1" applyProtection="1">
      <alignment horizontal="right" vertical="center" shrinkToFit="1"/>
      <protection locked="0"/>
    </xf>
    <xf numFmtId="0" fontId="8" fillId="0" borderId="0" xfId="0" applyFont="1" applyFill="1" applyBorder="1" applyAlignment="1" applyProtection="1">
      <alignment horizontal="left" vertical="center" shrinkToFit="1"/>
      <protection locked="0"/>
    </xf>
    <xf numFmtId="0" fontId="8" fillId="0" borderId="3" xfId="0" applyNumberFormat="1" applyFont="1" applyFill="1" applyBorder="1" applyAlignment="1" applyProtection="1">
      <alignment horizontal="center" vertical="center" shrinkToFit="1"/>
    </xf>
    <xf numFmtId="0" fontId="15" fillId="0" borderId="0" xfId="0" applyFont="1" applyBorder="1" applyProtection="1">
      <alignment vertical="center"/>
    </xf>
    <xf numFmtId="0" fontId="8" fillId="0" borderId="5" xfId="0" applyNumberFormat="1" applyFont="1" applyBorder="1" applyAlignment="1" applyProtection="1">
      <alignment horizontal="center" vertical="center" shrinkToFit="1"/>
    </xf>
    <xf numFmtId="0" fontId="8" fillId="0" borderId="0" xfId="0" applyFont="1" applyBorder="1" applyAlignment="1" applyProtection="1">
      <alignment horizontal="right" vertical="center" shrinkToFit="1"/>
      <protection locked="0"/>
    </xf>
    <xf numFmtId="0" fontId="8" fillId="0" borderId="0" xfId="0" applyFont="1" applyBorder="1" applyAlignment="1" applyProtection="1">
      <alignment horizontal="left" vertical="center" shrinkToFit="1"/>
      <protection locked="0"/>
    </xf>
    <xf numFmtId="0" fontId="8" fillId="0" borderId="4" xfId="0" applyNumberFormat="1" applyFont="1" applyBorder="1" applyAlignment="1" applyProtection="1">
      <alignment horizontal="center" vertical="center" shrinkToFit="1"/>
    </xf>
    <xf numFmtId="0" fontId="2" fillId="0" borderId="1" xfId="0" applyFont="1" applyBorder="1" applyAlignment="1" applyProtection="1">
      <alignment vertical="center" wrapText="1"/>
    </xf>
    <xf numFmtId="0" fontId="2" fillId="0" borderId="1" xfId="0" applyFont="1" applyBorder="1" applyAlignment="1" applyProtection="1">
      <alignment vertical="center" shrinkToFit="1"/>
    </xf>
    <xf numFmtId="0" fontId="8" fillId="0" borderId="1" xfId="0" applyNumberFormat="1" applyFont="1" applyBorder="1" applyAlignment="1" applyProtection="1">
      <alignment horizontal="center" vertical="center" shrinkToFit="1"/>
    </xf>
    <xf numFmtId="0" fontId="8" fillId="0" borderId="1" xfId="0" applyFont="1" applyBorder="1" applyAlignment="1" applyProtection="1">
      <alignment vertical="center" shrinkToFit="1"/>
      <protection locked="0"/>
    </xf>
    <xf numFmtId="176" fontId="8" fillId="0" borderId="1"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8" fillId="0" borderId="0" xfId="0" applyFont="1" applyBorder="1" applyAlignment="1" applyProtection="1">
      <alignment horizontal="center" vertical="center"/>
    </xf>
    <xf numFmtId="0" fontId="8" fillId="0" borderId="0" xfId="0" applyFont="1" applyAlignment="1" applyProtection="1">
      <alignment horizontal="left" vertical="center"/>
    </xf>
    <xf numFmtId="0" fontId="8" fillId="0" borderId="0" xfId="0" applyFont="1" applyAlignment="1" applyProtection="1">
      <alignment horizontal="center" vertical="center"/>
    </xf>
    <xf numFmtId="0" fontId="16" fillId="0" borderId="0" xfId="0" applyFont="1" applyBorder="1" applyAlignment="1" applyProtection="1">
      <alignment horizontal="center" vertical="center" wrapText="1"/>
    </xf>
    <xf numFmtId="0" fontId="17" fillId="0" borderId="0" xfId="0" applyFont="1" applyBorder="1" applyAlignment="1" applyProtection="1">
      <alignment horizontal="center" vertical="center" wrapText="1"/>
    </xf>
    <xf numFmtId="0" fontId="7" fillId="0" borderId="0" xfId="0" applyFont="1" applyBorder="1" applyAlignment="1" applyProtection="1">
      <alignment horizontal="left" vertical="center" wrapText="1"/>
    </xf>
    <xf numFmtId="0" fontId="0" fillId="0" borderId="2" xfId="0" applyNumberFormat="1" applyFont="1" applyBorder="1" applyAlignment="1" applyProtection="1">
      <alignment horizontal="left" vertical="center" wrapText="1"/>
    </xf>
    <xf numFmtId="0" fontId="0" fillId="0" borderId="0" xfId="0" applyBorder="1" applyProtection="1">
      <alignment vertical="center"/>
    </xf>
    <xf numFmtId="0" fontId="0" fillId="0" borderId="0" xfId="0" applyBorder="1" applyAlignment="1" applyProtection="1">
      <alignment vertical="center" wrapText="1"/>
    </xf>
    <xf numFmtId="14" fontId="0" fillId="0" borderId="2" xfId="0" applyNumberFormat="1" applyFont="1" applyFill="1" applyBorder="1" applyAlignment="1" applyProtection="1">
      <alignment horizontal="left" vertical="center" wrapText="1"/>
    </xf>
    <xf numFmtId="0" fontId="0" fillId="0" borderId="2"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right" vertical="center"/>
    </xf>
    <xf numFmtId="0" fontId="0" fillId="0" borderId="6" xfId="0" applyBorder="1" applyAlignment="1" applyProtection="1">
      <alignment horizontal="center" vertical="center" wrapText="1"/>
    </xf>
    <xf numFmtId="0" fontId="0" fillId="0" borderId="7" xfId="0" applyBorder="1" applyAlignment="1" applyProtection="1">
      <alignment horizontal="center" vertical="top" wrapText="1"/>
    </xf>
    <xf numFmtId="0" fontId="0" fillId="0" borderId="0" xfId="0" applyBorder="1" applyAlignment="1" applyProtection="1">
      <alignment horizontal="center" vertical="top"/>
    </xf>
    <xf numFmtId="0" fontId="0" fillId="0" borderId="7" xfId="0" applyBorder="1" applyAlignment="1" applyProtection="1">
      <alignment horizontal="center" vertical="center" shrinkToFit="1"/>
    </xf>
    <xf numFmtId="0" fontId="3" fillId="0" borderId="5" xfId="0" applyFont="1" applyBorder="1" applyAlignment="1" applyProtection="1">
      <alignment horizontal="center" vertical="center" shrinkToFit="1"/>
    </xf>
    <xf numFmtId="177" fontId="7" fillId="0" borderId="5" xfId="0" applyNumberFormat="1" applyFont="1" applyBorder="1" applyAlignment="1" applyProtection="1">
      <alignment horizontal="center" vertical="center" shrinkToFit="1"/>
    </xf>
    <xf numFmtId="178" fontId="0" fillId="0" borderId="0" xfId="0" applyNumberFormat="1" applyBorder="1" applyAlignment="1" applyProtection="1">
      <alignment horizontal="center" vertical="center" shrinkToFit="1"/>
    </xf>
    <xf numFmtId="179" fontId="7" fillId="0" borderId="5" xfId="0" applyNumberFormat="1" applyFont="1" applyBorder="1" applyAlignment="1" applyProtection="1">
      <alignment horizontal="center" vertical="center" shrinkToFit="1"/>
    </xf>
    <xf numFmtId="0" fontId="0" fillId="0" borderId="0" xfId="0" applyBorder="1">
      <alignment vertical="center"/>
    </xf>
    <xf numFmtId="0" fontId="2" fillId="0" borderId="8" xfId="0" applyFont="1" applyBorder="1" applyAlignment="1" applyProtection="1">
      <alignment horizontal="center" vertical="center"/>
    </xf>
    <xf numFmtId="180" fontId="2" fillId="0" borderId="8" xfId="0" applyNumberFormat="1" applyFont="1" applyBorder="1" applyAlignment="1" applyProtection="1">
      <alignment horizontal="center" vertical="center" shrinkToFit="1"/>
    </xf>
    <xf numFmtId="0" fontId="2" fillId="0" borderId="8" xfId="0" applyNumberFormat="1" applyFont="1" applyBorder="1" applyAlignment="1" applyProtection="1">
      <alignment horizontal="right" vertical="center" shrinkToFit="1"/>
    </xf>
    <xf numFmtId="178" fontId="2" fillId="0" borderId="8" xfId="0" applyNumberFormat="1" applyFont="1" applyBorder="1" applyAlignment="1" applyProtection="1">
      <alignment horizontal="right" vertical="center" shrinkToFit="1"/>
    </xf>
    <xf numFmtId="181" fontId="2" fillId="0" borderId="8" xfId="0" applyNumberFormat="1" applyFont="1" applyBorder="1" applyAlignment="1" applyProtection="1">
      <alignment horizontal="left" vertical="center" shrinkToFit="1"/>
    </xf>
    <xf numFmtId="0" fontId="18" fillId="0" borderId="0" xfId="0" applyFont="1" applyBorder="1" applyAlignment="1" applyProtection="1">
      <alignment horizontal="center" vertical="center" wrapText="1"/>
    </xf>
    <xf numFmtId="0" fontId="18" fillId="0" borderId="0" xfId="0" applyFont="1" applyBorder="1" applyAlignment="1" applyProtection="1">
      <alignment horizontal="center" vertical="center"/>
    </xf>
    <xf numFmtId="0" fontId="0" fillId="0" borderId="0" xfId="0" applyAlignment="1" applyProtection="1">
      <alignment horizontal="center" vertical="center"/>
    </xf>
    <xf numFmtId="0" fontId="0" fillId="0" borderId="0" xfId="0" applyBorder="1" applyAlignment="1" applyProtection="1">
      <alignment horizontal="left" vertical="center"/>
    </xf>
    <xf numFmtId="0" fontId="2" fillId="0" borderId="0" xfId="0" applyFont="1" applyAlignment="1" applyProtection="1">
      <alignment horizontal="left" vertical="center"/>
    </xf>
    <xf numFmtId="0" fontId="0" fillId="0" borderId="0" xfId="0" applyProtection="1">
      <alignment vertical="center"/>
    </xf>
    <xf numFmtId="0" fontId="15" fillId="0" borderId="0" xfId="0" applyFont="1" applyBorder="1" applyAlignment="1" applyProtection="1">
      <alignment horizontal="center" vertical="center"/>
    </xf>
    <xf numFmtId="0" fontId="15" fillId="0" borderId="0" xfId="0" applyFont="1" applyBorder="1" applyAlignment="1" applyProtection="1">
      <alignment horizontal="right" vertical="center"/>
    </xf>
    <xf numFmtId="0" fontId="15" fillId="0" borderId="0" xfId="0" applyFont="1" applyAlignment="1" applyProtection="1">
      <alignment horizontal="center" vertical="center"/>
    </xf>
    <xf numFmtId="0" fontId="7" fillId="0" borderId="2" xfId="0" applyFont="1" applyBorder="1" applyAlignment="1" applyProtection="1">
      <alignment horizontal="left" vertical="center" wrapText="1"/>
    </xf>
    <xf numFmtId="0" fontId="15" fillId="0" borderId="0" xfId="0" applyFont="1" applyBorder="1" applyAlignment="1" applyProtection="1">
      <alignment horizontal="right" vertical="center" wrapText="1"/>
    </xf>
    <xf numFmtId="0" fontId="8" fillId="0" borderId="0" xfId="0" applyFont="1" applyBorder="1" applyAlignment="1" applyProtection="1">
      <alignment horizontal="center" vertical="center" wrapText="1"/>
    </xf>
    <xf numFmtId="0" fontId="15" fillId="0" borderId="0" xfId="0" applyFont="1" applyBorder="1" applyAlignment="1" applyProtection="1">
      <alignment horizontal="center" vertical="center" wrapText="1"/>
    </xf>
    <xf numFmtId="0" fontId="7" fillId="0" borderId="9" xfId="0" applyFont="1" applyBorder="1" applyAlignment="1" applyProtection="1">
      <alignment horizontal="left" vertical="center" wrapText="1"/>
    </xf>
    <xf numFmtId="0" fontId="15" fillId="0" borderId="9" xfId="0" applyFont="1" applyBorder="1" applyAlignment="1" applyProtection="1">
      <alignment horizontal="left" vertical="center" wrapText="1"/>
    </xf>
    <xf numFmtId="0" fontId="13" fillId="0" borderId="0" xfId="0" applyFont="1" applyBorder="1" applyAlignment="1" applyProtection="1">
      <alignment horizontal="right" vertical="center"/>
    </xf>
    <xf numFmtId="0" fontId="13" fillId="0" borderId="0" xfId="0" applyFont="1" applyBorder="1" applyAlignment="1" applyProtection="1">
      <alignment horizontal="center" vertical="center"/>
    </xf>
    <xf numFmtId="0" fontId="15" fillId="0" borderId="2" xfId="0" applyFont="1" applyBorder="1" applyAlignment="1" applyProtection="1">
      <alignment horizontal="left" vertical="center" wrapText="1"/>
    </xf>
    <xf numFmtId="0" fontId="15" fillId="0" borderId="9" xfId="0" applyFont="1" applyBorder="1" applyAlignment="1" applyProtection="1">
      <alignment horizontal="center" wrapText="1"/>
    </xf>
    <xf numFmtId="0" fontId="7" fillId="0" borderId="0" xfId="0" applyFont="1" applyAlignment="1" applyProtection="1">
      <alignment horizontal="center" vertical="center"/>
    </xf>
    <xf numFmtId="0" fontId="8" fillId="0" borderId="0" xfId="0" applyNumberFormat="1" applyFont="1" applyFill="1" applyBorder="1" applyAlignment="1" applyProtection="1">
      <alignment horizontal="center" vertical="center" wrapText="1"/>
    </xf>
    <xf numFmtId="0" fontId="15" fillId="0" borderId="2" xfId="0" applyFont="1" applyBorder="1" applyAlignment="1" applyProtection="1">
      <alignment horizontal="center" wrapText="1"/>
    </xf>
    <xf numFmtId="0" fontId="15" fillId="0" borderId="2" xfId="0" applyFont="1" applyBorder="1" applyAlignment="1" applyProtection="1">
      <alignment horizontal="center" vertical="center" wrapText="1"/>
    </xf>
    <xf numFmtId="0" fontId="7" fillId="0" borderId="0" xfId="0" applyFont="1" applyBorder="1" applyAlignment="1" applyProtection="1">
      <alignment horizontal="center" vertical="center" wrapText="1"/>
    </xf>
    <xf numFmtId="0" fontId="7" fillId="0" borderId="9" xfId="0" applyFont="1" applyBorder="1" applyAlignment="1" applyProtection="1">
      <alignment horizontal="left" vertical="center"/>
    </xf>
    <xf numFmtId="14" fontId="8" fillId="0" borderId="0" xfId="0" applyNumberFormat="1" applyFont="1" applyFill="1" applyBorder="1" applyAlignment="1" applyProtection="1">
      <alignment horizontal="center" vertical="center" wrapText="1"/>
    </xf>
    <xf numFmtId="0" fontId="7" fillId="0" borderId="2" xfId="0" applyFont="1" applyBorder="1" applyAlignment="1" applyProtection="1">
      <alignment horizontal="left" vertical="center"/>
    </xf>
    <xf numFmtId="0" fontId="3" fillId="0" borderId="0" xfId="0" applyFont="1" applyBorder="1" applyAlignment="1" applyProtection="1">
      <alignment horizontal="right" vertical="center"/>
    </xf>
    <xf numFmtId="0" fontId="13"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9" fillId="0" borderId="0" xfId="0" applyFont="1" applyAlignment="1" applyProtection="1">
      <alignment horizontal="right" vertical="center" wrapText="1"/>
    </xf>
    <xf numFmtId="0" fontId="19" fillId="0" borderId="0" xfId="0" applyFont="1" applyAlignment="1" applyProtection="1">
      <alignment horizontal="center"/>
    </xf>
    <xf numFmtId="0" fontId="19" fillId="0" borderId="0" xfId="0" applyFont="1" applyAlignment="1" applyProtection="1">
      <alignment horizontal="left"/>
    </xf>
    <xf numFmtId="0" fontId="15" fillId="0" borderId="9" xfId="0" applyFont="1" applyBorder="1" applyAlignment="1" applyProtection="1">
      <alignment horizontal="center" vertical="center"/>
    </xf>
    <xf numFmtId="0" fontId="13" fillId="0" borderId="9" xfId="0" applyFont="1" applyBorder="1" applyAlignment="1" applyProtection="1">
      <alignment horizontal="center" vertical="center"/>
    </xf>
    <xf numFmtId="0" fontId="19" fillId="0" borderId="0" xfId="0" applyFont="1" applyAlignment="1" applyProtection="1">
      <alignment horizontal="right" vertical="center"/>
    </xf>
    <xf numFmtId="0" fontId="15" fillId="0" borderId="2" xfId="0" applyFont="1" applyBorder="1" applyAlignment="1" applyProtection="1">
      <alignment horizontal="center" vertical="center"/>
    </xf>
    <xf numFmtId="0" fontId="13" fillId="0" borderId="0" xfId="0" applyFont="1" applyBorder="1" applyProtection="1">
      <alignment vertical="center"/>
    </xf>
    <xf numFmtId="0" fontId="3" fillId="0" borderId="0" xfId="0" applyFont="1" applyBorder="1" applyProtection="1">
      <alignment vertical="center"/>
    </xf>
    <xf numFmtId="0" fontId="3" fillId="0" borderId="9" xfId="0" applyFont="1" applyBorder="1" applyProtection="1">
      <alignment vertical="center"/>
    </xf>
    <xf numFmtId="0" fontId="13" fillId="0" borderId="10" xfId="0" applyFont="1" applyBorder="1" applyAlignment="1" applyProtection="1">
      <alignment vertical="center" shrinkToFit="1"/>
    </xf>
    <xf numFmtId="0" fontId="15" fillId="0" borderId="11" xfId="0" applyFont="1" applyBorder="1" applyAlignment="1" applyProtection="1">
      <alignment horizontal="center" vertical="center"/>
    </xf>
    <xf numFmtId="0" fontId="15" fillId="0" borderId="12" xfId="0" applyFont="1" applyBorder="1" applyAlignment="1" applyProtection="1">
      <alignment horizontal="center" vertical="center"/>
    </xf>
    <xf numFmtId="0" fontId="15" fillId="0" borderId="13" xfId="0" applyFont="1" applyBorder="1" applyAlignment="1" applyProtection="1">
      <alignment horizontal="center" vertical="center"/>
    </xf>
    <xf numFmtId="0" fontId="15" fillId="0" borderId="14" xfId="0" applyFont="1" applyBorder="1" applyAlignment="1" applyProtection="1">
      <alignment horizontal="center" vertical="center"/>
    </xf>
    <xf numFmtId="0" fontId="15" fillId="0" borderId="15" xfId="0" applyFont="1" applyBorder="1" applyAlignment="1" applyProtection="1">
      <alignment horizontal="center" vertical="center"/>
    </xf>
    <xf numFmtId="0" fontId="15" fillId="0" borderId="16" xfId="0" applyFont="1" applyBorder="1" applyAlignment="1" applyProtection="1">
      <alignment horizontal="center" vertical="center"/>
    </xf>
    <xf numFmtId="0" fontId="15" fillId="0" borderId="17" xfId="0" applyFont="1" applyBorder="1" applyAlignment="1" applyProtection="1">
      <alignment horizontal="center" vertical="center"/>
    </xf>
    <xf numFmtId="0" fontId="7" fillId="0" borderId="18" xfId="0" applyFont="1" applyBorder="1" applyAlignment="1" applyProtection="1">
      <alignment horizontal="center" vertical="center" shrinkToFit="1"/>
    </xf>
    <xf numFmtId="0" fontId="7" fillId="0" borderId="19" xfId="0" applyFont="1" applyBorder="1" applyAlignment="1" applyProtection="1">
      <alignment horizontal="center" vertical="center" shrinkToFit="1"/>
    </xf>
    <xf numFmtId="0" fontId="8" fillId="0" borderId="3" xfId="0" applyNumberFormat="1" applyFont="1" applyBorder="1" applyAlignment="1" applyProtection="1">
      <alignment horizontal="center" vertical="center" shrinkToFit="1"/>
    </xf>
    <xf numFmtId="0" fontId="3" fillId="0" borderId="3" xfId="0" applyFont="1" applyBorder="1" applyAlignment="1" applyProtection="1">
      <alignment horizontal="center" vertical="center" shrinkToFit="1"/>
    </xf>
    <xf numFmtId="177" fontId="8" fillId="0" borderId="3" xfId="0" applyNumberFormat="1" applyFont="1" applyBorder="1" applyAlignment="1" applyProtection="1">
      <alignment horizontal="center" vertical="center" shrinkToFit="1"/>
    </xf>
    <xf numFmtId="0" fontId="8" fillId="0" borderId="18" xfId="0" applyNumberFormat="1" applyFont="1" applyBorder="1" applyAlignment="1" applyProtection="1">
      <alignment horizontal="center" vertical="center" shrinkToFit="1"/>
    </xf>
    <xf numFmtId="4" fontId="8" fillId="0" borderId="9" xfId="0" applyNumberFormat="1" applyFont="1" applyBorder="1" applyAlignment="1" applyProtection="1">
      <alignment horizontal="left" vertical="center" shrinkToFit="1"/>
    </xf>
    <xf numFmtId="4" fontId="8" fillId="0" borderId="19" xfId="0" applyNumberFormat="1" applyFont="1" applyBorder="1" applyAlignment="1" applyProtection="1">
      <alignment horizontal="left" vertical="center" shrinkToFit="1"/>
    </xf>
    <xf numFmtId="0" fontId="7" fillId="0" borderId="18" xfId="0" applyFont="1" applyBorder="1" applyAlignment="1" applyProtection="1">
      <alignment horizontal="center" vertical="center"/>
    </xf>
    <xf numFmtId="0" fontId="7" fillId="0" borderId="19" xfId="0" applyFont="1" applyBorder="1" applyAlignment="1" applyProtection="1">
      <alignment horizontal="center" vertical="center"/>
    </xf>
    <xf numFmtId="0" fontId="8" fillId="0" borderId="3" xfId="0" applyNumberFormat="1" applyFont="1" applyBorder="1" applyAlignment="1" applyProtection="1">
      <alignment horizontal="center" vertical="center"/>
    </xf>
    <xf numFmtId="0" fontId="3" fillId="0" borderId="3" xfId="0" applyFont="1" applyBorder="1" applyAlignment="1" applyProtection="1">
      <alignment horizontal="center" vertical="center"/>
    </xf>
    <xf numFmtId="4" fontId="8" fillId="0" borderId="3" xfId="0" applyNumberFormat="1" applyFont="1" applyBorder="1" applyAlignment="1" applyProtection="1">
      <alignment horizontal="center" vertical="center"/>
    </xf>
    <xf numFmtId="0" fontId="8" fillId="0" borderId="18" xfId="0" applyNumberFormat="1" applyFont="1" applyBorder="1" applyAlignment="1" applyProtection="1">
      <alignment horizontal="center" vertical="center"/>
    </xf>
    <xf numFmtId="4" fontId="8" fillId="0" borderId="9" xfId="0" applyNumberFormat="1" applyFont="1" applyBorder="1" applyAlignment="1" applyProtection="1">
      <alignment horizontal="left" vertical="center"/>
    </xf>
    <xf numFmtId="4" fontId="8" fillId="0" borderId="19" xfId="0" applyNumberFormat="1" applyFont="1" applyBorder="1" applyAlignment="1" applyProtection="1">
      <alignment horizontal="left" vertical="center"/>
    </xf>
    <xf numFmtId="0" fontId="20" fillId="0" borderId="0" xfId="0" applyFont="1" applyBorder="1" applyProtection="1">
      <alignment vertical="center"/>
    </xf>
    <xf numFmtId="182" fontId="20" fillId="0" borderId="18" xfId="0" applyNumberFormat="1" applyFont="1" applyBorder="1" applyAlignment="1" applyProtection="1">
      <alignment horizontal="center" vertical="center"/>
    </xf>
    <xf numFmtId="181" fontId="20" fillId="0" borderId="20" xfId="0" applyNumberFormat="1" applyFont="1" applyBorder="1" applyAlignment="1" applyProtection="1">
      <alignment horizontal="left" vertical="center"/>
    </xf>
    <xf numFmtId="0" fontId="13" fillId="0" borderId="0" xfId="0" applyFont="1" applyBorder="1" applyAlignment="1" applyProtection="1">
      <alignment vertical="center"/>
    </xf>
    <xf numFmtId="0" fontId="21" fillId="0" borderId="0" xfId="0" applyFont="1" applyBorder="1" applyAlignment="1" applyProtection="1">
      <alignment vertical="center"/>
    </xf>
    <xf numFmtId="182" fontId="20" fillId="0" borderId="21" xfId="0" applyNumberFormat="1" applyFont="1" applyBorder="1" applyAlignment="1" applyProtection="1">
      <alignment horizontal="center" vertical="center"/>
    </xf>
    <xf numFmtId="181" fontId="20" fillId="0" borderId="0" xfId="0" applyNumberFormat="1"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81" fontId="2" fillId="0" borderId="0" xfId="0" applyNumberFormat="1" applyFont="1" applyBorder="1" applyAlignment="1" applyProtection="1">
      <alignment horizontal="right" vertical="center"/>
    </xf>
    <xf numFmtId="180" fontId="2" fillId="0" borderId="0" xfId="0" applyNumberFormat="1" applyFont="1" applyBorder="1" applyAlignment="1" applyProtection="1">
      <alignment horizontal="left" vertical="center"/>
    </xf>
    <xf numFmtId="183" fontId="2" fillId="0" borderId="0" xfId="0" applyNumberFormat="1" applyFont="1" applyBorder="1" applyAlignment="1" applyProtection="1">
      <alignment horizontal="left" vertical="center"/>
    </xf>
    <xf numFmtId="0" fontId="0" fillId="0" borderId="0" xfId="0" applyBorder="1" applyAlignment="1" applyProtection="1">
      <alignment horizontal="left" vertical="center" shrinkToFit="1"/>
    </xf>
    <xf numFmtId="0" fontId="8" fillId="0" borderId="0" xfId="0" applyFont="1" applyBorder="1" applyAlignment="1" applyProtection="1">
      <alignment horizontal="left" vertical="center" shrinkToFit="1"/>
    </xf>
    <xf numFmtId="184" fontId="8" fillId="0" borderId="0" xfId="0" applyNumberFormat="1" applyFont="1" applyBorder="1" applyAlignment="1" applyProtection="1">
      <alignment horizontal="center" vertical="center"/>
    </xf>
    <xf numFmtId="0" fontId="22" fillId="0" borderId="0" xfId="0" applyFont="1" applyBorder="1" applyAlignment="1" applyProtection="1">
      <alignment horizontal="left" vertical="center"/>
    </xf>
    <xf numFmtId="0" fontId="8" fillId="0" borderId="0" xfId="0" applyFont="1" applyBorder="1" applyAlignment="1" applyProtection="1">
      <alignment vertical="center"/>
    </xf>
    <xf numFmtId="0" fontId="23" fillId="0" borderId="0" xfId="0" applyFont="1" applyBorder="1" applyProtection="1">
      <alignment vertical="center"/>
    </xf>
    <xf numFmtId="0" fontId="3" fillId="0" borderId="0" xfId="0" applyFont="1">
      <alignment vertical="center"/>
    </xf>
    <xf numFmtId="0" fontId="7" fillId="0" borderId="0" xfId="0" applyFont="1">
      <alignment vertical="center"/>
    </xf>
    <xf numFmtId="0" fontId="0" fillId="0" borderId="0" xfId="0" applyAlignment="1">
      <alignment horizontal="right" vertical="center"/>
    </xf>
    <xf numFmtId="0" fontId="24" fillId="0" borderId="0" xfId="0" applyFont="1" applyBorder="1" applyAlignment="1">
      <alignment horizontal="center" vertical="center"/>
    </xf>
    <xf numFmtId="0" fontId="24" fillId="0" borderId="0" xfId="0" applyFont="1" applyBorder="1" applyAlignment="1">
      <alignment horizontal="right" vertical="center"/>
    </xf>
    <xf numFmtId="0" fontId="3" fillId="0" borderId="0" xfId="0" applyFont="1" applyBorder="1" applyAlignment="1">
      <alignment horizontal="right" vertical="center" shrinkToFit="1"/>
    </xf>
    <xf numFmtId="0" fontId="3" fillId="0" borderId="0" xfId="0" applyFont="1" applyBorder="1" applyAlignment="1">
      <alignment horizontal="left" vertical="center" shrinkToFit="1"/>
    </xf>
    <xf numFmtId="0" fontId="3" fillId="0" borderId="0" xfId="0" applyFont="1" applyBorder="1" applyAlignment="1">
      <alignment vertical="center" shrinkToFit="1"/>
    </xf>
    <xf numFmtId="0" fontId="3" fillId="0" borderId="22"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25" fillId="0" borderId="25" xfId="0" applyFont="1" applyBorder="1" applyAlignment="1">
      <alignment vertical="center" shrinkToFit="1"/>
    </xf>
    <xf numFmtId="0" fontId="3" fillId="0" borderId="24" xfId="0" applyFont="1" applyBorder="1" applyAlignment="1">
      <alignment vertical="center" shrinkToFit="1"/>
    </xf>
    <xf numFmtId="0" fontId="3" fillId="0" borderId="25" xfId="0" applyFont="1" applyBorder="1" applyAlignment="1">
      <alignment vertical="center" shrinkToFit="1"/>
    </xf>
    <xf numFmtId="0" fontId="3" fillId="0" borderId="23" xfId="0" applyFont="1" applyBorder="1" applyAlignment="1">
      <alignment horizontal="right" vertical="center" shrinkToFit="1"/>
    </xf>
    <xf numFmtId="14" fontId="3" fillId="0" borderId="23" xfId="0" applyNumberFormat="1" applyFont="1" applyBorder="1" applyAlignment="1">
      <alignment horizontal="left" vertical="center" shrinkToFit="1"/>
    </xf>
    <xf numFmtId="0" fontId="3" fillId="0" borderId="26" xfId="0" applyFont="1" applyBorder="1" applyAlignment="1">
      <alignment horizontal="left" vertical="center" shrinkToFit="1"/>
    </xf>
    <xf numFmtId="0" fontId="26" fillId="4" borderId="22" xfId="0" applyFont="1" applyFill="1" applyBorder="1" applyAlignment="1"/>
    <xf numFmtId="0" fontId="27" fillId="4" borderId="23" xfId="0" applyFont="1" applyFill="1" applyBorder="1" applyAlignment="1"/>
    <xf numFmtId="0" fontId="26" fillId="4" borderId="23" xfId="0" applyFont="1" applyFill="1" applyBorder="1" applyAlignment="1"/>
    <xf numFmtId="0" fontId="26" fillId="4" borderId="26" xfId="0" applyFont="1" applyFill="1" applyBorder="1" applyAlignment="1"/>
    <xf numFmtId="0" fontId="2" fillId="0" borderId="27" xfId="0" applyFont="1" applyBorder="1" applyAlignment="1">
      <alignment horizontal="left" vertical="center" shrinkToFit="1"/>
    </xf>
    <xf numFmtId="0" fontId="2" fillId="0" borderId="2" xfId="0" applyFont="1" applyBorder="1" applyAlignment="1">
      <alignment horizontal="left" vertical="center" shrinkToFit="1"/>
    </xf>
    <xf numFmtId="0" fontId="2" fillId="0" borderId="16" xfId="0" applyFont="1" applyBorder="1" applyAlignment="1">
      <alignment horizontal="left" vertical="center" shrinkToFit="1"/>
    </xf>
    <xf numFmtId="0" fontId="0" fillId="0" borderId="15" xfId="0" applyBorder="1" applyAlignment="1">
      <alignment horizontal="left" vertical="center" shrinkToFit="1"/>
    </xf>
    <xf numFmtId="0" fontId="0" fillId="0" borderId="16" xfId="0" applyBorder="1" applyAlignment="1">
      <alignment horizontal="left" vertical="center" shrinkToFit="1"/>
    </xf>
    <xf numFmtId="0" fontId="0" fillId="0" borderId="2" xfId="0" applyBorder="1" applyAlignment="1">
      <alignment horizontal="left" vertical="center" shrinkToFit="1"/>
    </xf>
    <xf numFmtId="0" fontId="0" fillId="0" borderId="2" xfId="0" applyBorder="1" applyAlignment="1">
      <alignment horizontal="right" vertical="center" shrinkToFit="1"/>
    </xf>
    <xf numFmtId="0" fontId="0" fillId="0" borderId="16" xfId="0" applyBorder="1" applyAlignment="1">
      <alignment vertical="center" shrinkToFit="1"/>
    </xf>
    <xf numFmtId="0" fontId="0" fillId="0" borderId="28" xfId="0" applyBorder="1" applyAlignment="1">
      <alignment horizontal="left" vertical="center" shrinkToFit="1"/>
    </xf>
    <xf numFmtId="0" fontId="26" fillId="4" borderId="29" xfId="0" applyFont="1" applyFill="1" applyBorder="1" applyAlignment="1">
      <alignment vertical="center"/>
    </xf>
    <xf numFmtId="0" fontId="27" fillId="4" borderId="0" xfId="0" applyFont="1" applyFill="1" applyAlignment="1">
      <alignment horizontal="center" vertical="center"/>
    </xf>
    <xf numFmtId="0" fontId="27" fillId="4" borderId="0" xfId="0" applyFont="1" applyFill="1" applyAlignment="1">
      <alignment vertical="center"/>
    </xf>
    <xf numFmtId="0" fontId="26" fillId="4" borderId="0" xfId="0" applyFont="1" applyFill="1" applyAlignment="1">
      <alignment vertical="center"/>
    </xf>
    <xf numFmtId="0" fontId="26" fillId="4" borderId="30" xfId="0" applyFont="1" applyFill="1" applyBorder="1" applyAlignment="1"/>
    <xf numFmtId="0" fontId="25" fillId="0" borderId="31" xfId="0" applyFont="1" applyBorder="1" applyAlignment="1">
      <alignment horizontal="left" vertical="center" shrinkToFit="1"/>
    </xf>
    <xf numFmtId="0" fontId="25" fillId="0" borderId="9" xfId="0" applyFont="1" applyBorder="1" applyAlignment="1">
      <alignment horizontal="left" vertical="center" shrinkToFit="1"/>
    </xf>
    <xf numFmtId="0" fontId="3" fillId="0" borderId="9" xfId="0" applyFont="1" applyBorder="1" applyAlignment="1">
      <alignment vertical="center" shrinkToFit="1"/>
    </xf>
    <xf numFmtId="0" fontId="3" fillId="0" borderId="19" xfId="0" applyFont="1" applyBorder="1" applyAlignment="1">
      <alignment horizontal="left" vertical="center" wrapText="1"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0" fontId="3" fillId="0" borderId="18" xfId="0" applyFont="1" applyBorder="1" applyAlignment="1">
      <alignment horizontal="left" vertical="center" shrinkToFit="1"/>
    </xf>
    <xf numFmtId="0" fontId="3" fillId="0" borderId="9" xfId="0" applyFont="1" applyBorder="1" applyAlignment="1">
      <alignment horizontal="left" vertical="center" shrinkToFit="1"/>
    </xf>
    <xf numFmtId="0" fontId="3" fillId="0" borderId="9" xfId="0" applyFont="1" applyBorder="1" applyAlignment="1">
      <alignment horizontal="right" vertical="center" shrinkToFit="1"/>
    </xf>
    <xf numFmtId="0" fontId="3" fillId="0" borderId="19" xfId="0" applyFont="1" applyBorder="1" applyAlignment="1">
      <alignment horizontal="left" vertical="center" shrinkToFit="1"/>
    </xf>
    <xf numFmtId="0" fontId="3" fillId="0" borderId="32" xfId="0" applyFont="1" applyBorder="1" applyAlignment="1">
      <alignment horizontal="left" vertical="center" shrinkToFit="1"/>
    </xf>
    <xf numFmtId="0" fontId="26" fillId="4" borderId="29" xfId="0" applyFont="1" applyFill="1" applyBorder="1" applyAlignment="1"/>
    <xf numFmtId="0" fontId="26" fillId="4" borderId="0" xfId="0" applyFont="1" applyFill="1" applyAlignment="1"/>
    <xf numFmtId="0" fontId="2" fillId="3" borderId="27" xfId="0" applyFont="1" applyFill="1" applyBorder="1" applyAlignment="1">
      <alignment horizontal="left" vertical="center" shrinkToFit="1"/>
    </xf>
    <xf numFmtId="0" fontId="2" fillId="3" borderId="2" xfId="0" applyFont="1" applyFill="1" applyBorder="1" applyAlignment="1">
      <alignment horizontal="left" vertical="center" shrinkToFit="1"/>
    </xf>
    <xf numFmtId="0" fontId="2" fillId="3" borderId="16" xfId="0" applyFont="1" applyFill="1" applyBorder="1" applyAlignment="1">
      <alignment horizontal="left" vertical="center" shrinkToFit="1"/>
    </xf>
    <xf numFmtId="0" fontId="3" fillId="0" borderId="31" xfId="0" applyFont="1" applyBorder="1" applyAlignment="1">
      <alignment horizontal="left" vertical="center" shrinkToFit="1"/>
    </xf>
    <xf numFmtId="0" fontId="2" fillId="0" borderId="15" xfId="0" applyFont="1" applyBorder="1" applyAlignment="1">
      <alignment horizontal="left" vertical="center" shrinkToFit="1"/>
    </xf>
    <xf numFmtId="0" fontId="2" fillId="0" borderId="2" xfId="0" applyFont="1" applyBorder="1" applyAlignment="1">
      <alignment horizontal="right" vertical="center" shrinkToFit="1"/>
    </xf>
    <xf numFmtId="0" fontId="25" fillId="0" borderId="18" xfId="0" applyFont="1" applyBorder="1" applyAlignment="1">
      <alignment vertical="center" shrinkToFit="1"/>
    </xf>
    <xf numFmtId="0" fontId="0" fillId="3" borderId="27" xfId="0" applyFont="1" applyFill="1" applyBorder="1" applyAlignment="1">
      <alignment horizontal="left" vertical="center" shrinkToFit="1"/>
    </xf>
    <xf numFmtId="0" fontId="4" fillId="3" borderId="15" xfId="0" applyFont="1" applyFill="1" applyBorder="1" applyAlignment="1">
      <alignment horizontal="left" vertical="center" shrinkToFit="1"/>
    </xf>
    <xf numFmtId="0" fontId="4" fillId="3" borderId="16" xfId="0" applyFont="1" applyFill="1" applyBorder="1" applyAlignment="1">
      <alignment horizontal="left" vertical="center" shrinkToFit="1"/>
    </xf>
    <xf numFmtId="0" fontId="0" fillId="3" borderId="15" xfId="0" applyFill="1" applyBorder="1" applyAlignment="1">
      <alignment horizontal="left" vertical="center" shrinkToFit="1"/>
    </xf>
    <xf numFmtId="0" fontId="0" fillId="3" borderId="2" xfId="0" applyFill="1" applyBorder="1" applyAlignment="1">
      <alignment horizontal="left" vertical="center" shrinkToFit="1"/>
    </xf>
    <xf numFmtId="0" fontId="26" fillId="5" borderId="0" xfId="0" applyFont="1" applyFill="1" applyAlignment="1"/>
    <xf numFmtId="0" fontId="3" fillId="0" borderId="4" xfId="0" applyFont="1" applyBorder="1" applyAlignment="1">
      <alignment vertical="center" shrinkToFit="1"/>
    </xf>
    <xf numFmtId="0" fontId="3" fillId="0" borderId="3" xfId="0" applyFont="1" applyBorder="1" applyAlignment="1">
      <alignment vertical="center" shrinkToFit="1"/>
    </xf>
    <xf numFmtId="0" fontId="3" fillId="0" borderId="18" xfId="0" applyFont="1" applyBorder="1" applyAlignment="1">
      <alignment horizontal="right" vertical="center" shrinkToFit="1"/>
    </xf>
    <xf numFmtId="0" fontId="3" fillId="0" borderId="9" xfId="0" applyFont="1" applyBorder="1" applyAlignment="1">
      <alignment horizontal="center" vertical="center" shrinkToFit="1"/>
    </xf>
    <xf numFmtId="0" fontId="3" fillId="0" borderId="32" xfId="0" applyFont="1" applyBorder="1" applyAlignment="1">
      <alignment horizontal="center" vertical="center" shrinkToFit="1"/>
    </xf>
    <xf numFmtId="0" fontId="26" fillId="4" borderId="33" xfId="0" applyFont="1" applyFill="1" applyBorder="1" applyAlignment="1"/>
    <xf numFmtId="0" fontId="26" fillId="4" borderId="34" xfId="0" applyFont="1" applyFill="1" applyBorder="1" applyAlignment="1"/>
    <xf numFmtId="0" fontId="26" fillId="4" borderId="35" xfId="0" applyFont="1" applyFill="1" applyBorder="1" applyAlignment="1"/>
    <xf numFmtId="0" fontId="2" fillId="0" borderId="17" xfId="0" applyFont="1" applyFill="1" applyBorder="1" applyAlignment="1">
      <alignment horizontal="left" vertical="center" shrinkToFit="1"/>
    </xf>
    <xf numFmtId="0" fontId="2" fillId="0" borderId="15" xfId="0" applyFont="1" applyFill="1" applyBorder="1" applyAlignment="1">
      <alignment horizontal="left" vertical="center" shrinkToFit="1"/>
    </xf>
    <xf numFmtId="0" fontId="2" fillId="0" borderId="16" xfId="0" applyFont="1" applyFill="1" applyBorder="1" applyAlignment="1">
      <alignment horizontal="left" vertical="center" shrinkToFit="1"/>
    </xf>
    <xf numFmtId="0" fontId="2" fillId="3" borderId="15" xfId="0" applyFont="1" applyFill="1" applyBorder="1" applyAlignment="1">
      <alignment horizontal="left" vertical="center" shrinkToFit="1"/>
    </xf>
    <xf numFmtId="0" fontId="2" fillId="0" borderId="28" xfId="0" applyFont="1" applyBorder="1" applyAlignment="1">
      <alignment horizontal="left" vertical="center" shrinkToFit="1"/>
    </xf>
    <xf numFmtId="0" fontId="25" fillId="0" borderId="0" xfId="0" applyFont="1" applyAlignment="1">
      <alignment horizontal="right" vertical="center"/>
    </xf>
    <xf numFmtId="0" fontId="3" fillId="0" borderId="0" xfId="0" applyFont="1" applyAlignment="1">
      <alignment horizontal="left" vertical="center"/>
    </xf>
    <xf numFmtId="0" fontId="3" fillId="0" borderId="31" xfId="0" applyFont="1" applyBorder="1">
      <alignment vertical="center"/>
    </xf>
    <xf numFmtId="0" fontId="3" fillId="0" borderId="9" xfId="0" applyFont="1" applyBorder="1">
      <alignment vertical="center"/>
    </xf>
    <xf numFmtId="0" fontId="3" fillId="0" borderId="9" xfId="0" applyFont="1" applyBorder="1" applyAlignment="1">
      <alignment horizontal="left" vertical="center"/>
    </xf>
    <xf numFmtId="0" fontId="3" fillId="0" borderId="32" xfId="0" applyFont="1" applyBorder="1" applyAlignment="1">
      <alignment horizontal="left" vertical="center"/>
    </xf>
    <xf numFmtId="0" fontId="25" fillId="0" borderId="33" xfId="0" applyFont="1" applyBorder="1" applyAlignment="1">
      <alignment horizontal="right" vertical="center"/>
    </xf>
    <xf numFmtId="0" fontId="25" fillId="0" borderId="34" xfId="0" applyFont="1" applyBorder="1" applyAlignment="1">
      <alignment horizontal="right" vertical="center"/>
    </xf>
    <xf numFmtId="0" fontId="25" fillId="0" borderId="34" xfId="0" applyFont="1" applyBorder="1" applyAlignment="1">
      <alignment horizontal="left" vertical="center"/>
    </xf>
    <xf numFmtId="0" fontId="25" fillId="0" borderId="35" xfId="0" applyFont="1" applyBorder="1" applyAlignment="1">
      <alignment horizontal="left" vertical="center"/>
    </xf>
    <xf numFmtId="0" fontId="3" fillId="0" borderId="29" xfId="0" applyFont="1" applyBorder="1">
      <alignment vertical="center"/>
    </xf>
    <xf numFmtId="0" fontId="3" fillId="0" borderId="0" xfId="0" applyFont="1" applyBorder="1">
      <alignment vertical="center"/>
    </xf>
    <xf numFmtId="0" fontId="3" fillId="0" borderId="0" xfId="0" applyFont="1" applyBorder="1" applyAlignment="1">
      <alignment horizontal="left" vertical="center"/>
    </xf>
    <xf numFmtId="0" fontId="3" fillId="0" borderId="30" xfId="0" applyFont="1" applyBorder="1" applyAlignment="1">
      <alignment horizontal="left" vertical="center"/>
    </xf>
    <xf numFmtId="0" fontId="3" fillId="0" borderId="0" xfId="0" applyFont="1" applyAlignment="1">
      <alignment horizontal="right" vertical="center"/>
    </xf>
    <xf numFmtId="0" fontId="28" fillId="0" borderId="0" xfId="6" applyFont="1" applyAlignment="1">
      <alignment horizontal="left" vertical="center"/>
    </xf>
    <xf numFmtId="0" fontId="0" fillId="0" borderId="30" xfId="0" applyBorder="1" applyAlignment="1">
      <alignment horizontal="left" vertical="center"/>
    </xf>
    <xf numFmtId="0" fontId="0" fillId="0" borderId="29"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horizontal="right" vertical="center"/>
    </xf>
    <xf numFmtId="0" fontId="3" fillId="0" borderId="36" xfId="0" applyFont="1" applyBorder="1">
      <alignment vertical="center"/>
    </xf>
    <xf numFmtId="0" fontId="0" fillId="0" borderId="23" xfId="0" applyBorder="1">
      <alignment vertical="center"/>
    </xf>
    <xf numFmtId="0" fontId="0" fillId="0" borderId="26" xfId="0" applyBorder="1">
      <alignment vertical="center"/>
    </xf>
    <xf numFmtId="0" fontId="25" fillId="0" borderId="0" xfId="0" applyFont="1" applyAlignment="1">
      <alignment horizontal="left" vertical="center"/>
    </xf>
    <xf numFmtId="0" fontId="29" fillId="0" borderId="37" xfId="0" applyFont="1" applyBorder="1">
      <alignment vertical="center"/>
    </xf>
    <xf numFmtId="0" fontId="29" fillId="0" borderId="38" xfId="0" applyFont="1" applyBorder="1">
      <alignment vertical="center"/>
    </xf>
    <xf numFmtId="0" fontId="29" fillId="0" borderId="39" xfId="0" applyFont="1" applyBorder="1" applyAlignment="1">
      <alignment horizontal="left" vertical="center"/>
    </xf>
    <xf numFmtId="0" fontId="29" fillId="0" borderId="40" xfId="0" applyFont="1" applyBorder="1" applyAlignment="1">
      <alignment horizontal="right" vertical="center"/>
    </xf>
    <xf numFmtId="0" fontId="29" fillId="0" borderId="38" xfId="0" applyFont="1" applyBorder="1" applyAlignment="1">
      <alignment horizontal="right" vertical="center"/>
    </xf>
    <xf numFmtId="0" fontId="30" fillId="0" borderId="41" xfId="0" applyFont="1" applyBorder="1">
      <alignment vertical="center"/>
    </xf>
    <xf numFmtId="0" fontId="31" fillId="0" borderId="38" xfId="0" applyFont="1" applyBorder="1" applyAlignment="1">
      <alignment horizontal="center" vertical="center"/>
    </xf>
    <xf numFmtId="0" fontId="31" fillId="0" borderId="42" xfId="0" applyFont="1" applyBorder="1" applyAlignment="1">
      <alignment horizontal="center" vertical="center"/>
    </xf>
    <xf numFmtId="0" fontId="7" fillId="0" borderId="42" xfId="0" applyFont="1" applyBorder="1" applyAlignment="1">
      <alignment horizontal="center" vertical="center" shrinkToFit="1"/>
    </xf>
    <xf numFmtId="0" fontId="7" fillId="0" borderId="36" xfId="0" applyFont="1" applyBorder="1" applyAlignment="1">
      <alignment horizontal="center" vertical="center" shrinkToFit="1"/>
    </xf>
    <xf numFmtId="0" fontId="3" fillId="0" borderId="15" xfId="0" applyFont="1" applyBorder="1" applyAlignment="1">
      <alignment horizontal="center" vertical="center"/>
    </xf>
    <xf numFmtId="0" fontId="25" fillId="0" borderId="2" xfId="0" applyFont="1" applyBorder="1" applyAlignment="1">
      <alignment horizontal="center" vertical="center"/>
    </xf>
    <xf numFmtId="0" fontId="3" fillId="0" borderId="2" xfId="0" applyFont="1" applyBorder="1" applyAlignment="1">
      <alignment horizontal="center" vertical="center"/>
    </xf>
    <xf numFmtId="0" fontId="3" fillId="0" borderId="16" xfId="0" applyFont="1" applyBorder="1" applyAlignment="1">
      <alignment horizontal="center" vertical="center"/>
    </xf>
    <xf numFmtId="0" fontId="3" fillId="0" borderId="30" xfId="0" applyFont="1" applyBorder="1" applyAlignment="1">
      <alignment horizontal="center" vertical="center" shrinkToFit="1"/>
    </xf>
    <xf numFmtId="0" fontId="3" fillId="0" borderId="43" xfId="0" applyFont="1" applyBorder="1" applyAlignment="1">
      <alignment horizontal="center" vertical="center" shrinkToFit="1"/>
    </xf>
    <xf numFmtId="0" fontId="0" fillId="0" borderId="7" xfId="0" applyBorder="1" applyAlignment="1">
      <alignment horizontal="center" vertical="center" shrinkToFit="1"/>
    </xf>
    <xf numFmtId="0" fontId="0" fillId="3" borderId="0" xfId="0" applyFill="1" applyBorder="1" applyAlignment="1">
      <alignment horizontal="left" vertical="center" shrinkToFit="1"/>
    </xf>
    <xf numFmtId="0" fontId="0" fillId="3" borderId="0" xfId="0" applyFill="1" applyBorder="1" applyAlignment="1">
      <alignment horizontal="center" vertical="center" shrinkToFit="1"/>
    </xf>
    <xf numFmtId="0" fontId="0" fillId="0" borderId="0" xfId="0" applyBorder="1" applyAlignment="1">
      <alignment vertical="center" shrinkToFit="1"/>
    </xf>
    <xf numFmtId="0" fontId="0" fillId="3" borderId="0" xfId="0" applyFill="1" applyAlignment="1">
      <alignment horizontal="right" vertical="center" shrinkToFit="1"/>
    </xf>
    <xf numFmtId="0" fontId="0" fillId="3" borderId="0" xfId="0" applyFill="1" applyAlignment="1">
      <alignment horizontal="center" vertical="center" shrinkToFit="1"/>
    </xf>
    <xf numFmtId="0" fontId="0" fillId="0" borderId="0" xfId="0" applyAlignment="1">
      <alignment horizontal="center" vertical="center" shrinkToFit="1"/>
    </xf>
    <xf numFmtId="0" fontId="2" fillId="0" borderId="0" xfId="0" applyFont="1" applyAlignment="1">
      <alignment horizontal="center" vertical="center" shrinkToFit="1"/>
    </xf>
    <xf numFmtId="0" fontId="2" fillId="3" borderId="0" xfId="0" applyFont="1" applyFill="1" applyAlignment="1">
      <alignment horizontal="center" vertical="center" shrinkToFit="1"/>
    </xf>
    <xf numFmtId="0" fontId="0" fillId="0" borderId="5" xfId="0" applyBorder="1" applyAlignment="1">
      <alignment vertical="center" shrinkToFit="1"/>
    </xf>
    <xf numFmtId="0" fontId="0" fillId="0" borderId="44" xfId="0" applyBorder="1" applyAlignment="1">
      <alignment horizontal="center" vertical="center" shrinkToFit="1"/>
    </xf>
    <xf numFmtId="0" fontId="0" fillId="0" borderId="1" xfId="0" applyBorder="1" applyAlignment="1">
      <alignment horizontal="center" vertical="center" shrinkToFit="1"/>
    </xf>
    <xf numFmtId="0" fontId="1" fillId="0" borderId="0" xfId="0" applyFont="1" applyAlignment="1">
      <alignment horizontal="left" vertical="center" shrinkToFit="1"/>
    </xf>
    <xf numFmtId="0" fontId="3" fillId="3" borderId="0" xfId="0" applyFont="1" applyFill="1" applyAlignment="1">
      <alignment horizontal="left" vertical="center" wrapText="1" shrinkToFit="1"/>
    </xf>
    <xf numFmtId="0" fontId="0" fillId="0" borderId="0" xfId="0" applyAlignment="1">
      <alignment vertical="center" shrinkToFit="1"/>
    </xf>
    <xf numFmtId="176" fontId="0" fillId="0" borderId="0" xfId="0" applyNumberFormat="1" applyAlignment="1">
      <alignment horizontal="right" vertical="center" shrinkToFit="1"/>
    </xf>
    <xf numFmtId="176" fontId="0" fillId="0" borderId="0" xfId="0" applyNumberFormat="1" applyAlignment="1">
      <alignment horizontal="center" vertical="center" shrinkToFit="1"/>
    </xf>
    <xf numFmtId="0" fontId="3" fillId="0" borderId="15" xfId="0" applyFont="1" applyBorder="1" applyAlignment="1">
      <alignment horizontal="center" vertical="center" shrinkToFit="1"/>
    </xf>
    <xf numFmtId="0" fontId="3" fillId="3" borderId="2" xfId="0" applyFont="1" applyFill="1" applyBorder="1" applyAlignment="1">
      <alignment horizontal="left" vertical="center" wrapText="1" shrinkToFit="1"/>
    </xf>
    <xf numFmtId="0" fontId="0" fillId="3" borderId="2" xfId="0" applyFill="1" applyBorder="1" applyAlignment="1">
      <alignment vertical="center" shrinkToFit="1"/>
    </xf>
    <xf numFmtId="0" fontId="0" fillId="0" borderId="2" xfId="0" applyBorder="1" applyAlignment="1">
      <alignment vertical="center" shrinkToFit="1"/>
    </xf>
    <xf numFmtId="0" fontId="0" fillId="0" borderId="2" xfId="0" applyBorder="1" applyAlignment="1">
      <alignment horizontal="center" vertical="center" shrinkToFit="1"/>
    </xf>
    <xf numFmtId="0" fontId="0" fillId="0" borderId="0" xfId="0" applyBorder="1" applyAlignment="1">
      <alignment horizontal="left" vertical="center" shrinkToFit="1"/>
    </xf>
    <xf numFmtId="0" fontId="0" fillId="0" borderId="0" xfId="0" applyBorder="1" applyAlignment="1">
      <alignment horizontal="center" vertical="center" shrinkToFit="1"/>
    </xf>
    <xf numFmtId="0" fontId="0" fillId="0" borderId="0" xfId="0" applyAlignment="1">
      <alignment horizontal="right" vertical="center" shrinkToFit="1"/>
    </xf>
    <xf numFmtId="0" fontId="0" fillId="0" borderId="0" xfId="0" applyAlignment="1">
      <alignment horizontal="left" vertical="center" shrinkToFit="1"/>
    </xf>
    <xf numFmtId="0" fontId="3" fillId="0" borderId="0" xfId="0" applyFont="1" applyAlignment="1">
      <alignment horizontal="left" vertical="center" wrapText="1" shrinkToFit="1"/>
    </xf>
    <xf numFmtId="0" fontId="3" fillId="0" borderId="2" xfId="0" applyFont="1" applyBorder="1" applyAlignment="1">
      <alignment horizontal="left" vertical="center" wrapText="1" shrinkToFit="1"/>
    </xf>
    <xf numFmtId="0" fontId="32" fillId="0" borderId="0" xfId="0" applyFont="1">
      <alignment vertical="center"/>
    </xf>
    <xf numFmtId="0" fontId="18" fillId="0" borderId="0" xfId="0" applyFont="1">
      <alignment vertical="center"/>
    </xf>
    <xf numFmtId="0" fontId="2" fillId="0" borderId="0" xfId="0" applyFont="1" applyAlignment="1">
      <alignment horizontal="right" vertical="center"/>
    </xf>
    <xf numFmtId="0" fontId="30" fillId="0" borderId="0" xfId="0" applyFont="1">
      <alignment vertical="center"/>
    </xf>
    <xf numFmtId="184" fontId="0" fillId="3" borderId="0" xfId="0" applyNumberFormat="1" applyFill="1" applyBorder="1" applyAlignment="1">
      <alignment horizontal="center" vertical="center"/>
    </xf>
    <xf numFmtId="0" fontId="3" fillId="0" borderId="45" xfId="0" applyFont="1" applyBorder="1" applyAlignment="1">
      <alignment horizontal="center" vertical="center"/>
    </xf>
    <xf numFmtId="0" fontId="3" fillId="0" borderId="46" xfId="0" applyFont="1" applyBorder="1" applyAlignment="1">
      <alignment horizontal="center" vertical="center" shrinkToFit="1"/>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8" xfId="0" applyFont="1" applyBorder="1" applyAlignment="1">
      <alignment horizontal="center" vertical="center" shrinkToFit="1"/>
    </xf>
    <xf numFmtId="0" fontId="3" fillId="0" borderId="48" xfId="0" applyFont="1" applyBorder="1" applyAlignment="1">
      <alignment horizontal="center" vertical="center"/>
    </xf>
    <xf numFmtId="0" fontId="3" fillId="0" borderId="17" xfId="0" applyFont="1" applyBorder="1" applyAlignment="1">
      <alignment horizontal="center" vertical="center"/>
    </xf>
    <xf numFmtId="0" fontId="3" fillId="0" borderId="17" xfId="0" applyFont="1" applyBorder="1" applyAlignment="1">
      <alignment horizontal="center" vertical="center" shrinkToFit="1"/>
    </xf>
    <xf numFmtId="0" fontId="3" fillId="0" borderId="4" xfId="0" applyFont="1" applyBorder="1" applyAlignment="1">
      <alignment horizontal="center" vertical="center" shrinkToFit="1"/>
    </xf>
    <xf numFmtId="184" fontId="3" fillId="0" borderId="17" xfId="0" applyNumberFormat="1"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right" vertical="center" shrinkToFit="1"/>
    </xf>
    <xf numFmtId="0" fontId="3" fillId="0" borderId="8" xfId="0" applyFont="1" applyBorder="1" applyAlignment="1">
      <alignment horizontal="left" vertical="center" shrinkToFit="1"/>
    </xf>
    <xf numFmtId="0" fontId="3" fillId="0" borderId="44" xfId="0" applyFont="1" applyBorder="1" applyAlignment="1">
      <alignment vertical="center" shrinkToFit="1"/>
    </xf>
    <xf numFmtId="184" fontId="3" fillId="0" borderId="1" xfId="0" applyNumberFormat="1" applyFont="1" applyBorder="1" applyAlignment="1">
      <alignment horizontal="center" vertical="center" shrinkToFit="1"/>
    </xf>
    <xf numFmtId="184" fontId="3" fillId="0" borderId="17" xfId="0" applyNumberFormat="1" applyFont="1" applyBorder="1" applyAlignment="1">
      <alignment horizontal="center" vertical="center" shrinkToFit="1"/>
    </xf>
    <xf numFmtId="0" fontId="3" fillId="0" borderId="3" xfId="0" applyFont="1" applyBorder="1" applyAlignment="1">
      <alignment horizontal="center" vertical="center"/>
    </xf>
    <xf numFmtId="0" fontId="3" fillId="0" borderId="3" xfId="0" applyFont="1" applyBorder="1" applyAlignment="1">
      <alignment horizontal="center" vertical="center" shrinkToFit="1"/>
    </xf>
    <xf numFmtId="0" fontId="3" fillId="0" borderId="49" xfId="0" applyFont="1" applyBorder="1" applyAlignment="1">
      <alignment horizontal="center" vertical="center"/>
    </xf>
    <xf numFmtId="0" fontId="3" fillId="0" borderId="39" xfId="0" applyFont="1" applyBorder="1" applyAlignment="1">
      <alignment horizontal="center" vertical="center" shrinkToFit="1"/>
    </xf>
    <xf numFmtId="0" fontId="3" fillId="0" borderId="50" xfId="0" applyFont="1" applyBorder="1" applyAlignment="1">
      <alignment horizontal="center" vertical="center" shrinkToFit="1"/>
    </xf>
    <xf numFmtId="0" fontId="3" fillId="0" borderId="1" xfId="0" applyFont="1" applyBorder="1" applyAlignment="1">
      <alignment horizontal="left" vertical="center"/>
    </xf>
    <xf numFmtId="0" fontId="3" fillId="0" borderId="4" xfId="0" applyFont="1" applyBorder="1" applyAlignment="1">
      <alignment horizontal="center" vertical="center"/>
    </xf>
    <xf numFmtId="0" fontId="3" fillId="0" borderId="3" xfId="0" applyFont="1" applyBorder="1" applyAlignment="1">
      <alignment horizontal="left" vertical="center"/>
    </xf>
    <xf numFmtId="0" fontId="3" fillId="0" borderId="18" xfId="0" applyFont="1" applyBorder="1" applyAlignment="1">
      <alignment vertical="center"/>
    </xf>
    <xf numFmtId="0" fontId="3" fillId="0" borderId="9" xfId="0" applyFont="1" applyBorder="1" applyAlignment="1">
      <alignment vertical="center"/>
    </xf>
    <xf numFmtId="0" fontId="3" fillId="0" borderId="19" xfId="0" applyFont="1" applyBorder="1" applyAlignment="1">
      <alignment vertical="center"/>
    </xf>
    <xf numFmtId="0" fontId="3" fillId="0" borderId="7" xfId="0" applyFont="1" applyBorder="1" applyAlignment="1">
      <alignment vertical="center"/>
    </xf>
    <xf numFmtId="0" fontId="3" fillId="0" borderId="0" xfId="0" applyFont="1" applyBorder="1" applyAlignment="1">
      <alignment vertical="center"/>
    </xf>
    <xf numFmtId="0" fontId="3" fillId="0" borderId="5" xfId="0" applyFont="1" applyBorder="1" applyAlignment="1">
      <alignment vertical="center"/>
    </xf>
    <xf numFmtId="0" fontId="33" fillId="0" borderId="18" xfId="0" applyFont="1" applyBorder="1" applyAlignment="1">
      <alignment horizontal="left" vertical="top" wrapText="1"/>
    </xf>
    <xf numFmtId="0" fontId="33" fillId="0" borderId="9" xfId="0" applyFont="1" applyBorder="1" applyAlignment="1">
      <alignment horizontal="left" vertical="top"/>
    </xf>
    <xf numFmtId="0" fontId="33" fillId="0" borderId="19" xfId="0" applyFont="1" applyBorder="1" applyAlignment="1">
      <alignment horizontal="left" vertical="top"/>
    </xf>
    <xf numFmtId="0" fontId="33" fillId="0" borderId="9" xfId="0" applyFont="1" applyBorder="1" applyAlignment="1">
      <alignment horizontal="left" vertical="top" wrapText="1"/>
    </xf>
    <xf numFmtId="0" fontId="33" fillId="0" borderId="19" xfId="0" applyFont="1" applyBorder="1" applyAlignment="1">
      <alignment horizontal="left" vertical="top" wrapText="1"/>
    </xf>
    <xf numFmtId="0" fontId="33" fillId="0" borderId="7" xfId="0" applyFont="1" applyBorder="1" applyAlignment="1">
      <alignment horizontal="left" vertical="top"/>
    </xf>
    <xf numFmtId="0" fontId="33" fillId="0" borderId="0" xfId="0" applyFont="1" applyBorder="1" applyAlignment="1">
      <alignment horizontal="left" vertical="top"/>
    </xf>
    <xf numFmtId="0" fontId="33" fillId="0" borderId="5" xfId="0" applyFont="1" applyBorder="1" applyAlignment="1">
      <alignment horizontal="left" vertical="top"/>
    </xf>
    <xf numFmtId="0" fontId="33" fillId="0" borderId="7" xfId="0" applyFont="1" applyBorder="1" applyAlignment="1">
      <alignment horizontal="left" vertical="top" wrapText="1"/>
    </xf>
    <xf numFmtId="0" fontId="33" fillId="0" borderId="0" xfId="0" applyFont="1" applyBorder="1" applyAlignment="1">
      <alignment horizontal="left" vertical="top" wrapText="1"/>
    </xf>
    <xf numFmtId="0" fontId="33" fillId="0" borderId="5" xfId="0" applyFont="1" applyBorder="1" applyAlignment="1">
      <alignment horizontal="left" vertical="top" wrapText="1"/>
    </xf>
    <xf numFmtId="0" fontId="34" fillId="0" borderId="18" xfId="0" applyFont="1" applyBorder="1" applyAlignment="1">
      <alignment vertical="center"/>
    </xf>
    <xf numFmtId="0" fontId="0" fillId="0" borderId="9" xfId="0" applyBorder="1" applyAlignment="1">
      <alignment vertical="center"/>
    </xf>
    <xf numFmtId="0" fontId="0" fillId="0" borderId="19" xfId="0" applyBorder="1" applyAlignment="1">
      <alignment vertical="center"/>
    </xf>
    <xf numFmtId="0" fontId="0" fillId="0" borderId="7" xfId="0" applyBorder="1" applyAlignment="1">
      <alignment vertical="center"/>
    </xf>
    <xf numFmtId="0" fontId="0" fillId="0" borderId="0" xfId="0" applyBorder="1" applyAlignment="1">
      <alignment vertical="center"/>
    </xf>
    <xf numFmtId="0" fontId="0" fillId="0" borderId="5" xfId="0" applyBorder="1" applyAlignment="1">
      <alignment vertical="center"/>
    </xf>
    <xf numFmtId="184" fontId="3" fillId="0" borderId="0" xfId="0" applyNumberFormat="1" applyFont="1" applyBorder="1" applyAlignment="1">
      <alignment vertical="center"/>
    </xf>
    <xf numFmtId="184" fontId="3" fillId="0" borderId="5" xfId="0" applyNumberFormat="1" applyFont="1" applyBorder="1" applyAlignment="1">
      <alignment vertical="center"/>
    </xf>
    <xf numFmtId="0" fontId="3" fillId="0" borderId="0" xfId="0" applyNumberFormat="1" applyFont="1" applyBorder="1" applyAlignment="1">
      <alignment horizontal="left" vertical="center"/>
    </xf>
    <xf numFmtId="184" fontId="3" fillId="0" borderId="0" xfId="0" applyNumberFormat="1" applyFont="1" applyAlignment="1">
      <alignment horizontal="center" vertical="center"/>
    </xf>
    <xf numFmtId="184" fontId="3" fillId="0" borderId="5" xfId="0" applyNumberFormat="1" applyFont="1" applyBorder="1" applyAlignment="1">
      <alignment horizontal="center" vertical="center"/>
    </xf>
    <xf numFmtId="0" fontId="0" fillId="0" borderId="15" xfId="0" applyBorder="1" applyAlignment="1">
      <alignment vertical="center"/>
    </xf>
    <xf numFmtId="0" fontId="0" fillId="0" borderId="2" xfId="0" applyBorder="1" applyAlignment="1">
      <alignment vertical="center"/>
    </xf>
    <xf numFmtId="0" fontId="0" fillId="0" borderId="16" xfId="0" applyBorder="1" applyAlignment="1">
      <alignment vertical="center"/>
    </xf>
    <xf numFmtId="0" fontId="0" fillId="0" borderId="0" xfId="0" applyAlignment="1">
      <alignment horizontal="center" vertical="center"/>
    </xf>
    <xf numFmtId="0" fontId="3" fillId="0" borderId="0" xfId="0" applyFont="1" applyAlignment="1">
      <alignment horizontal="left" vertical="top"/>
    </xf>
    <xf numFmtId="0" fontId="3" fillId="0" borderId="0" xfId="0" applyFont="1" applyAlignment="1">
      <alignment horizontal="center" vertical="center"/>
    </xf>
    <xf numFmtId="0" fontId="26" fillId="5"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BFBFBF"/>
      <color rgb="00800080"/>
      <color rgb="00C0C0C0"/>
      <color rgb="00203764"/>
      <color rgb="000000FF"/>
      <color rgb="00FFFF00"/>
      <color rgb="00D9D9D9"/>
      <color rgb="00FF0000"/>
      <color rgb="00F2F2F2"/>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19050</xdr:colOff>
      <xdr:row>47</xdr:row>
      <xdr:rowOff>95250</xdr:rowOff>
    </xdr:from>
    <xdr:to>
      <xdr:col>1</xdr:col>
      <xdr:colOff>704850</xdr:colOff>
      <xdr:row>48</xdr:row>
      <xdr:rowOff>47625</xdr:rowOff>
    </xdr:to>
    <xdr:pic>
      <xdr:nvPicPr>
        <xdr:cNvPr id="39403" name="图片 7"/>
        <xdr:cNvPicPr>
          <a:picLocks noChangeAspect="1"/>
        </xdr:cNvPicPr>
      </xdr:nvPicPr>
      <xdr:blipFill>
        <a:blip r:embed="rId1"/>
        <a:stretch>
          <a:fillRect/>
        </a:stretch>
      </xdr:blipFill>
      <xdr:spPr>
        <a:xfrm>
          <a:off x="238125" y="9362440"/>
          <a:ext cx="685800" cy="2457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22</xdr:col>
      <xdr:colOff>323850</xdr:colOff>
      <xdr:row>18</xdr:row>
      <xdr:rowOff>28575</xdr:rowOff>
    </xdr:from>
    <xdr:to>
      <xdr:col>33</xdr:col>
      <xdr:colOff>276225</xdr:colOff>
      <xdr:row>21</xdr:row>
      <xdr:rowOff>142875</xdr:rowOff>
    </xdr:to>
    <xdr:pic>
      <xdr:nvPicPr>
        <xdr:cNvPr id="202757" name="图片 1"/>
        <xdr:cNvPicPr>
          <a:picLocks noChangeAspect="1"/>
        </xdr:cNvPicPr>
      </xdr:nvPicPr>
      <xdr:blipFill>
        <a:blip r:embed="rId1"/>
        <a:stretch>
          <a:fillRect/>
        </a:stretch>
      </xdr:blipFill>
      <xdr:spPr>
        <a:xfrm>
          <a:off x="13963650" y="3597275"/>
          <a:ext cx="7496175" cy="676275"/>
        </a:xfrm>
        <a:prstGeom prst="rect">
          <a:avLst/>
        </a:prstGeom>
        <a:noFill/>
        <a:ln w="9525">
          <a:noFill/>
        </a:ln>
      </xdr:spPr>
    </xdr:pic>
    <xdr:clientData/>
  </xdr:twoCellAnchor>
  <xdr:twoCellAnchor editAs="oneCell">
    <xdr:from>
      <xdr:col>0</xdr:col>
      <xdr:colOff>9525</xdr:colOff>
      <xdr:row>22</xdr:row>
      <xdr:rowOff>0</xdr:rowOff>
    </xdr:from>
    <xdr:to>
      <xdr:col>19</xdr:col>
      <xdr:colOff>28575</xdr:colOff>
      <xdr:row>23</xdr:row>
      <xdr:rowOff>66675</xdr:rowOff>
    </xdr:to>
    <xdr:pic>
      <xdr:nvPicPr>
        <xdr:cNvPr id="202758" name="图片 1"/>
        <xdr:cNvPicPr>
          <a:picLocks noChangeAspect="1"/>
        </xdr:cNvPicPr>
      </xdr:nvPicPr>
      <xdr:blipFill>
        <a:blip r:embed="rId2"/>
        <a:stretch>
          <a:fillRect/>
        </a:stretch>
      </xdr:blipFill>
      <xdr:spPr>
        <a:xfrm>
          <a:off x="9525" y="4330700"/>
          <a:ext cx="11915775" cy="2667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8</xdr:row>
      <xdr:rowOff>142875</xdr:rowOff>
    </xdr:from>
    <xdr:to>
      <xdr:col>7</xdr:col>
      <xdr:colOff>733425</xdr:colOff>
      <xdr:row>9</xdr:row>
      <xdr:rowOff>66675</xdr:rowOff>
    </xdr:to>
    <xdr:sp>
      <xdr:nvSpPr>
        <xdr:cNvPr id="161420" name="Line 1033"/>
        <xdr:cNvSpPr/>
      </xdr:nvSpPr>
      <xdr:spPr>
        <a:xfrm rot="-180000">
          <a:off x="5619750" y="2413635"/>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0</xdr:colOff>
      <xdr:row>11</xdr:row>
      <xdr:rowOff>0</xdr:rowOff>
    </xdr:from>
    <xdr:to>
      <xdr:col>7</xdr:col>
      <xdr:colOff>723900</xdr:colOff>
      <xdr:row>11</xdr:row>
      <xdr:rowOff>0</xdr:rowOff>
    </xdr:to>
    <xdr:sp>
      <xdr:nvSpPr>
        <xdr:cNvPr id="161421" name="Line 1034"/>
        <xdr:cNvSpPr/>
      </xdr:nvSpPr>
      <xdr:spPr>
        <a:xfrm>
          <a:off x="5610225" y="279463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57150</xdr:colOff>
      <xdr:row>7</xdr:row>
      <xdr:rowOff>0</xdr:rowOff>
    </xdr:from>
    <xdr:to>
      <xdr:col>7</xdr:col>
      <xdr:colOff>781050</xdr:colOff>
      <xdr:row>7</xdr:row>
      <xdr:rowOff>66675</xdr:rowOff>
    </xdr:to>
    <xdr:sp>
      <xdr:nvSpPr>
        <xdr:cNvPr id="161422" name="Line 1033"/>
        <xdr:cNvSpPr/>
      </xdr:nvSpPr>
      <xdr:spPr>
        <a:xfrm rot="-180000">
          <a:off x="5667375" y="2108200"/>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19050</xdr:colOff>
      <xdr:row>13</xdr:row>
      <xdr:rowOff>28575</xdr:rowOff>
    </xdr:from>
    <xdr:to>
      <xdr:col>7</xdr:col>
      <xdr:colOff>742950</xdr:colOff>
      <xdr:row>13</xdr:row>
      <xdr:rowOff>28575</xdr:rowOff>
    </xdr:to>
    <xdr:sp>
      <xdr:nvSpPr>
        <xdr:cNvPr id="161423" name="Line 1034"/>
        <xdr:cNvSpPr/>
      </xdr:nvSpPr>
      <xdr:spPr>
        <a:xfrm>
          <a:off x="5629275" y="312102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editAs="oneCell">
    <xdr:from>
      <xdr:col>0</xdr:col>
      <xdr:colOff>635</xdr:colOff>
      <xdr:row>0</xdr:row>
      <xdr:rowOff>0</xdr:rowOff>
    </xdr:from>
    <xdr:to>
      <xdr:col>8</xdr:col>
      <xdr:colOff>80645</xdr:colOff>
      <xdr:row>1</xdr:row>
      <xdr:rowOff>118745</xdr:rowOff>
    </xdr:to>
    <xdr:pic>
      <xdr:nvPicPr>
        <xdr:cNvPr id="161424" name="图片 2"/>
        <xdr:cNvPicPr>
          <a:picLocks noChangeAspect="1"/>
        </xdr:cNvPicPr>
      </xdr:nvPicPr>
      <xdr:blipFill>
        <a:blip r:embed="rId1"/>
        <a:stretch>
          <a:fillRect/>
        </a:stretch>
      </xdr:blipFill>
      <xdr:spPr>
        <a:xfrm>
          <a:off x="635" y="0"/>
          <a:ext cx="7109460" cy="72834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0</xdr:rowOff>
    </xdr:from>
    <xdr:to>
      <xdr:col>7</xdr:col>
      <xdr:colOff>985520</xdr:colOff>
      <xdr:row>0</xdr:row>
      <xdr:rowOff>804545</xdr:rowOff>
    </xdr:to>
    <xdr:pic>
      <xdr:nvPicPr>
        <xdr:cNvPr id="36386" name="图片 2"/>
        <xdr:cNvPicPr>
          <a:picLocks noChangeAspect="1"/>
        </xdr:cNvPicPr>
      </xdr:nvPicPr>
      <xdr:blipFill>
        <a:blip r:embed="rId1"/>
        <a:stretch>
          <a:fillRect/>
        </a:stretch>
      </xdr:blipFill>
      <xdr:spPr>
        <a:xfrm>
          <a:off x="635" y="0"/>
          <a:ext cx="6833235" cy="80454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0</xdr:rowOff>
    </xdr:from>
    <xdr:to>
      <xdr:col>6</xdr:col>
      <xdr:colOff>1271905</xdr:colOff>
      <xdr:row>1</xdr:row>
      <xdr:rowOff>157480</xdr:rowOff>
    </xdr:to>
    <xdr:pic>
      <xdr:nvPicPr>
        <xdr:cNvPr id="37448" name="图片 2"/>
        <xdr:cNvPicPr>
          <a:picLocks noChangeAspect="1"/>
        </xdr:cNvPicPr>
      </xdr:nvPicPr>
      <xdr:blipFill>
        <a:blip r:embed="rId1"/>
        <a:stretch>
          <a:fillRect/>
        </a:stretch>
      </xdr:blipFill>
      <xdr:spPr>
        <a:xfrm>
          <a:off x="635" y="0"/>
          <a:ext cx="6833870" cy="80518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19050</xdr:rowOff>
    </xdr:from>
    <xdr:to>
      <xdr:col>19</xdr:col>
      <xdr:colOff>561975</xdr:colOff>
      <xdr:row>45</xdr:row>
      <xdr:rowOff>161925</xdr:rowOff>
    </xdr:to>
    <xdr:pic>
      <xdr:nvPicPr>
        <xdr:cNvPr id="24092" name="图片 1" descr="MINM9TB(6DQB{[LH}I[D653"/>
        <xdr:cNvPicPr>
          <a:picLocks noChangeAspect="1"/>
        </xdr:cNvPicPr>
      </xdr:nvPicPr>
      <xdr:blipFill>
        <a:blip r:embed="rId1"/>
        <a:stretch>
          <a:fillRect/>
        </a:stretch>
      </xdr:blipFill>
      <xdr:spPr>
        <a:xfrm>
          <a:off x="12249150" y="19050"/>
          <a:ext cx="7305675" cy="922464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9"/>
  <sheetViews>
    <sheetView showZeros="0" tabSelected="1" view="pageBreakPreview" zoomScaleNormal="100" workbookViewId="0">
      <selection activeCell="L19" sqref="L19"/>
    </sheetView>
  </sheetViews>
  <sheetFormatPr defaultColWidth="9" defaultRowHeight="15.75"/>
  <cols>
    <col min="1" max="1" width="2.875" customWidth="1"/>
    <col min="2" max="2" width="11.5" customWidth="1"/>
    <col min="3" max="3" width="9" customWidth="1"/>
    <col min="4" max="4" width="7" customWidth="1"/>
    <col min="5" max="5" width="12.5" customWidth="1"/>
    <col min="6" max="6" width="2.125" customWidth="1"/>
    <col min="7" max="7" width="12.625" customWidth="1"/>
    <col min="8" max="8" width="14" customWidth="1"/>
    <col min="10" max="10" width="4.75" customWidth="1"/>
  </cols>
  <sheetData>
    <row r="1" ht="12" customHeight="1"/>
    <row r="2" ht="9" customHeight="1"/>
    <row r="3" ht="17.6" spans="2:9">
      <c r="E3" s="334" t="s">
        <v>0</v>
      </c>
    </row>
    <row r="5" spans="2:9">
      <c r="G5" t="s">
        <v>1</v>
      </c>
    </row>
    <row r="6" spans="2:9">
      <c r="C6" s="335">
        <f>报关单!V11</f>
        <v>0</v>
      </c>
    </row>
    <row r="7" spans="2:9">
      <c r="B7" s="191" t="s">
        <v>2</v>
      </c>
    </row>
    <row r="8" spans="2:9">
      <c r="B8" s="191" t="s">
        <v>3</v>
      </c>
    </row>
    <row r="9" spans="2:9">
      <c r="B9" s="191" t="s">
        <v>4</v>
      </c>
    </row>
    <row r="10" spans="2:9">
      <c r="B10" s="191" t="s">
        <v>5</v>
      </c>
    </row>
    <row r="11" spans="2:9">
      <c r="B11" s="191" t="s">
        <v>6</v>
      </c>
    </row>
    <row r="12" spans="2:9">
      <c r="B12" s="191" t="s">
        <v>7</v>
      </c>
      <c r="E12" s="336" t="s">
        <v>8</v>
      </c>
    </row>
    <row r="13" spans="2:9">
      <c r="G13" s="192" t="s">
        <v>9</v>
      </c>
    </row>
    <row r="15" spans="2:9">
      <c r="D15" s="192" t="s">
        <v>10</v>
      </c>
    </row>
    <row r="16" spans="2:9">
      <c r="H16" s="337">
        <v>46173</v>
      </c>
      <c r="I16" s="337"/>
    </row>
    <row r="18" ht="17.6" spans="2:10">
      <c r="E18" s="334" t="s">
        <v>11</v>
      </c>
    </row>
    <row r="20" ht="16.5" spans="2:10">
      <c r="B20" s="191" t="s">
        <v>12</v>
      </c>
    </row>
    <row r="21" spans="2:10">
      <c r="B21" s="338" t="s">
        <v>13</v>
      </c>
      <c r="C21" s="339" t="str">
        <f>报关单!A4</f>
        <v>深圳市比苛电池有限公司</v>
      </c>
      <c r="D21" s="339"/>
      <c r="E21" s="339"/>
      <c r="F21" s="191"/>
      <c r="G21" s="338" t="s">
        <v>14</v>
      </c>
      <c r="H21" s="340">
        <f>报关单!Y11</f>
        <v>0</v>
      </c>
      <c r="I21" s="340"/>
      <c r="J21" s="340"/>
    </row>
    <row r="22" ht="16.5" spans="2:10">
      <c r="B22" s="341" t="s">
        <v>15</v>
      </c>
      <c r="C22" s="342" t="str">
        <f ca="1">发票!C9</f>
        <v>锂电池</v>
      </c>
      <c r="D22" s="342"/>
      <c r="E22" s="342"/>
      <c r="F22" s="191"/>
      <c r="G22" s="341" t="s">
        <v>16</v>
      </c>
      <c r="H22" s="343"/>
      <c r="I22" s="343"/>
      <c r="J22" s="343"/>
    </row>
    <row r="23" spans="2:10">
      <c r="B23" s="344" t="s">
        <v>17</v>
      </c>
      <c r="C23" s="345">
        <f>报关单!B20</f>
        <v>8507600090</v>
      </c>
      <c r="D23" s="346"/>
      <c r="E23" s="345"/>
      <c r="F23" s="191"/>
      <c r="G23" s="344" t="s">
        <v>18</v>
      </c>
      <c r="H23" s="347">
        <f ca="1">TODAY()</f>
        <v>46161</v>
      </c>
      <c r="I23" s="347"/>
      <c r="J23" s="347"/>
    </row>
    <row r="24" spans="2:10">
      <c r="B24" s="348" t="s">
        <v>19</v>
      </c>
      <c r="C24" s="349" t="str">
        <f ca="1">发票!G23</f>
        <v>美元</v>
      </c>
      <c r="D24" s="350">
        <f ca="1">发票!H23</f>
        <v>24242</v>
      </c>
      <c r="E24" s="351"/>
      <c r="F24" s="191"/>
      <c r="G24" s="348" t="s">
        <v>20</v>
      </c>
      <c r="H24" s="348" t="s">
        <v>21</v>
      </c>
      <c r="I24" s="348" t="s">
        <v>22</v>
      </c>
      <c r="J24" s="348"/>
    </row>
    <row r="25" spans="2:10">
      <c r="B25" s="348" t="s">
        <v>23</v>
      </c>
      <c r="C25" s="352">
        <f ca="1">报关单!L3</f>
        <v>46161</v>
      </c>
      <c r="D25" s="353"/>
      <c r="E25" s="352"/>
      <c r="F25" s="191"/>
      <c r="G25" s="348"/>
      <c r="H25" s="348" t="s">
        <v>24</v>
      </c>
      <c r="I25" s="348" t="s">
        <v>25</v>
      </c>
      <c r="J25" s="348"/>
    </row>
    <row r="26" ht="16.5" spans="2:10">
      <c r="B26" s="354" t="s">
        <v>26</v>
      </c>
      <c r="C26" s="355"/>
      <c r="D26" s="355"/>
      <c r="E26" s="355"/>
      <c r="F26" s="191"/>
      <c r="G26" s="348"/>
      <c r="H26" s="348" t="s">
        <v>27</v>
      </c>
      <c r="I26" s="348" t="s">
        <v>28</v>
      </c>
      <c r="J26" s="348"/>
    </row>
    <row r="27" ht="16.5" spans="2:10">
      <c r="B27" s="356" t="s">
        <v>29</v>
      </c>
      <c r="C27" s="357" t="str">
        <f>报关单!E8</f>
        <v>一般贸易</v>
      </c>
      <c r="D27" s="357"/>
      <c r="E27" s="358"/>
      <c r="F27" s="191"/>
      <c r="G27" s="348"/>
      <c r="H27" s="359" t="s">
        <v>30</v>
      </c>
      <c r="I27" s="359"/>
      <c r="J27" s="359"/>
    </row>
    <row r="28" spans="2:10">
      <c r="B28" s="360" t="s">
        <v>31</v>
      </c>
      <c r="C28" s="346" t="str">
        <f>报关单!P20</f>
        <v>深圳</v>
      </c>
      <c r="D28" s="346"/>
      <c r="E28" s="346"/>
      <c r="F28" s="191"/>
      <c r="G28" s="354" t="s">
        <v>32</v>
      </c>
      <c r="H28" s="361" t="s">
        <v>33</v>
      </c>
      <c r="I28" s="361"/>
      <c r="J28" s="361"/>
    </row>
    <row r="29" spans="2:10">
      <c r="B29" s="362" t="s">
        <v>34</v>
      </c>
      <c r="C29" s="363"/>
      <c r="D29" s="363"/>
      <c r="E29" s="364"/>
      <c r="G29" s="362" t="s">
        <v>35</v>
      </c>
      <c r="H29" s="363"/>
      <c r="I29" s="363"/>
      <c r="J29" s="364"/>
    </row>
    <row r="30" spans="2:10">
      <c r="B30" s="365"/>
      <c r="C30" s="366"/>
      <c r="D30" s="366"/>
      <c r="E30" s="367"/>
      <c r="G30" s="365"/>
      <c r="H30" s="366"/>
      <c r="I30" s="366"/>
      <c r="J30" s="367"/>
    </row>
    <row r="31" spans="2:10">
      <c r="B31" s="365"/>
      <c r="C31" s="366"/>
      <c r="D31" s="366"/>
      <c r="G31" s="365"/>
      <c r="H31" s="366"/>
      <c r="I31" s="366"/>
      <c r="J31" s="367"/>
    </row>
    <row r="32" spans="2:10">
      <c r="B32" s="365"/>
      <c r="C32" s="366"/>
      <c r="D32" s="366"/>
      <c r="E32" s="367"/>
      <c r="G32" s="365"/>
      <c r="H32" s="366"/>
      <c r="I32" s="366"/>
      <c r="J32" s="367"/>
    </row>
    <row r="33" spans="2:10">
      <c r="B33" s="365"/>
      <c r="C33" s="366"/>
      <c r="D33" s="366"/>
      <c r="E33" s="367"/>
      <c r="G33" s="365"/>
      <c r="H33" s="366"/>
      <c r="I33" s="366"/>
      <c r="J33" s="367"/>
    </row>
    <row r="34" spans="2:10">
      <c r="B34" s="365"/>
      <c r="C34" s="366"/>
      <c r="D34" s="366"/>
      <c r="E34" s="367"/>
      <c r="G34" s="365"/>
      <c r="H34" s="366"/>
      <c r="I34" s="366"/>
      <c r="J34" s="367"/>
    </row>
    <row r="35" spans="2:10">
      <c r="B35" s="365"/>
      <c r="C35" s="366"/>
      <c r="D35" s="366"/>
      <c r="E35" s="367"/>
      <c r="G35" s="365"/>
      <c r="H35" s="366"/>
      <c r="I35" s="366"/>
      <c r="J35" s="367"/>
    </row>
    <row r="36" spans="2:10">
      <c r="B36" s="368" t="s">
        <v>36</v>
      </c>
      <c r="C36" s="369"/>
      <c r="D36" s="369"/>
      <c r="E36" s="370"/>
      <c r="G36" s="368" t="s">
        <v>36</v>
      </c>
      <c r="H36" s="371"/>
      <c r="I36" s="371"/>
      <c r="J36" s="372"/>
    </row>
    <row r="37" spans="2:10">
      <c r="B37" s="373"/>
      <c r="C37" s="374"/>
      <c r="D37" s="374"/>
      <c r="E37" s="375"/>
      <c r="G37" s="376"/>
      <c r="H37" s="377"/>
      <c r="I37" s="377"/>
      <c r="J37" s="378"/>
    </row>
    <row r="38" spans="2:10">
      <c r="B38" s="373"/>
      <c r="C38" s="374"/>
      <c r="D38" s="374"/>
      <c r="E38" s="375"/>
      <c r="G38" s="376"/>
      <c r="H38" s="377"/>
      <c r="I38" s="377"/>
      <c r="J38" s="378"/>
    </row>
    <row r="39" spans="2:10">
      <c r="B39" s="379" t="s">
        <v>37</v>
      </c>
      <c r="C39" s="380"/>
      <c r="D39" s="380"/>
      <c r="E39" s="381"/>
      <c r="G39" s="362" t="s">
        <v>38</v>
      </c>
      <c r="H39" s="380"/>
      <c r="I39" s="380"/>
      <c r="J39" s="381"/>
    </row>
    <row r="40" spans="2:10">
      <c r="B40" s="382"/>
      <c r="C40" s="383"/>
      <c r="D40" s="383"/>
      <c r="E40" s="384"/>
      <c r="G40" s="382"/>
      <c r="H40" s="383"/>
      <c r="I40" s="383"/>
      <c r="J40" s="384"/>
    </row>
    <row r="41" spans="2:10">
      <c r="B41" s="382"/>
      <c r="C41" s="383"/>
      <c r="D41" s="383"/>
      <c r="E41" s="384"/>
      <c r="G41" s="382"/>
      <c r="H41" s="383"/>
      <c r="I41" s="383"/>
      <c r="J41" s="384"/>
    </row>
    <row r="42" spans="2:10">
      <c r="B42" s="382"/>
      <c r="C42" s="383"/>
      <c r="D42" s="383"/>
      <c r="E42" s="384"/>
      <c r="G42" s="382"/>
      <c r="H42" s="383"/>
      <c r="I42" s="383"/>
      <c r="J42" s="384"/>
    </row>
    <row r="43" spans="2:10">
      <c r="B43" s="382"/>
      <c r="C43" s="383"/>
      <c r="D43" s="383"/>
      <c r="E43" s="384"/>
      <c r="G43" s="382"/>
      <c r="H43" s="383"/>
      <c r="I43" s="383"/>
      <c r="J43" s="384"/>
    </row>
    <row r="44" spans="2:10">
      <c r="B44" s="365" t="s">
        <v>39</v>
      </c>
      <c r="C44" s="383"/>
      <c r="D44" s="383"/>
      <c r="E44" s="384"/>
      <c r="G44" s="365" t="s">
        <v>40</v>
      </c>
      <c r="H44" s="366"/>
      <c r="I44" s="366"/>
      <c r="J44" s="367"/>
    </row>
    <row r="45" spans="2:10">
      <c r="B45" s="365" t="s">
        <v>41</v>
      </c>
      <c r="C45" s="383"/>
      <c r="D45" s="385"/>
      <c r="E45" s="386">
        <f ca="1">TODAY()-1</f>
        <v>46160</v>
      </c>
      <c r="G45" s="365" t="s">
        <v>41</v>
      </c>
      <c r="H45" s="387"/>
      <c r="I45" s="388">
        <f ca="1">TODAY()</f>
        <v>46161</v>
      </c>
      <c r="J45" s="389"/>
    </row>
    <row r="46" spans="2:10">
      <c r="B46" s="382"/>
      <c r="C46" s="383"/>
      <c r="D46" s="383"/>
      <c r="E46" s="384"/>
      <c r="G46" s="382"/>
      <c r="H46" s="383"/>
      <c r="I46" s="383"/>
      <c r="J46" s="384"/>
    </row>
    <row r="47" ht="9" customHeight="1" spans="2:10">
      <c r="B47" s="390"/>
      <c r="C47" s="391"/>
      <c r="D47" s="391"/>
      <c r="E47" s="392"/>
      <c r="G47" s="390"/>
      <c r="H47" s="391"/>
      <c r="I47" s="391"/>
      <c r="J47" s="392"/>
    </row>
    <row r="48" ht="23.1" customHeight="1" spans="2:10">
      <c r="B48" s="393"/>
      <c r="C48" s="394" t="s">
        <v>42</v>
      </c>
      <c r="D48" s="266"/>
      <c r="E48" s="393"/>
      <c r="G48" s="393"/>
      <c r="H48" s="393"/>
      <c r="I48" s="395" t="s">
        <v>43</v>
      </c>
      <c r="J48" s="393"/>
    </row>
    <row r="49" ht="9.95" customHeight="1"/>
  </sheetData>
  <mergeCells count="20">
    <mergeCell ref="H16:I16"/>
    <mergeCell ref="C21:E21"/>
    <mergeCell ref="H21:J21"/>
    <mergeCell ref="C22:E22"/>
    <mergeCell ref="H22:J22"/>
    <mergeCell ref="C23:E23"/>
    <mergeCell ref="H23:J23"/>
    <mergeCell ref="I24:J24"/>
    <mergeCell ref="C25:E25"/>
    <mergeCell ref="I25:J25"/>
    <mergeCell ref="C26:E26"/>
    <mergeCell ref="I26:J26"/>
    <mergeCell ref="C27:E27"/>
    <mergeCell ref="H27:J27"/>
    <mergeCell ref="C28:E28"/>
    <mergeCell ref="H28:J28"/>
    <mergeCell ref="I45:J45"/>
    <mergeCell ref="G24:G27"/>
    <mergeCell ref="B36:E38"/>
    <mergeCell ref="G36:J38"/>
  </mergeCells>
  <pageMargins left="0.2" right="0.12" top="0.47" bottom="0.31" header="0.16" footer="0.04"/>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125"/>
  <sheetViews>
    <sheetView showZeros="0" view="pageBreakPreview" zoomScaleNormal="100" workbookViewId="0">
      <selection activeCell="G35" sqref="G35"/>
    </sheetView>
  </sheetViews>
  <sheetFormatPr defaultColWidth="9" defaultRowHeight="15.75"/>
  <cols>
    <col min="1" max="1" width="6.25" customWidth="1"/>
    <col min="2" max="2" width="7.375" customWidth="1"/>
    <col min="3" max="3" width="4.375" customWidth="1"/>
    <col min="4" max="4" width="21" customWidth="1"/>
    <col min="5" max="5" width="10.875" customWidth="1"/>
    <col min="6" max="6" width="16.375" customWidth="1"/>
    <col min="7" max="7" width="11" customWidth="1"/>
    <col min="8" max="8" width="6.75" customWidth="1"/>
    <col min="9" max="9" width="7.875" style="193" customWidth="1"/>
    <col min="10" max="10" width="7.125" customWidth="1"/>
    <col min="11" max="11" width="7.625" customWidth="1"/>
    <col min="12" max="12" width="5.375" customWidth="1"/>
    <col min="13" max="13" width="5.25" customWidth="1"/>
    <col min="14" max="14" width="5.125" customWidth="1"/>
    <col min="15" max="15" width="7.25" customWidth="1"/>
    <col min="16" max="16" width="4.125" customWidth="1"/>
    <col min="17" max="17" width="6.25" customWidth="1"/>
    <col min="18" max="18" width="7.625" customWidth="1"/>
    <col min="19" max="19" width="8.5" customWidth="1"/>
    <col min="20" max="20" width="8.25" customWidth="1"/>
    <col min="21" max="21" width="7.75" customWidth="1"/>
    <col min="22" max="22" width="6.875" customWidth="1"/>
  </cols>
  <sheetData>
    <row r="1" ht="33" customHeight="1" spans="1:28">
      <c r="A1" s="194" t="s">
        <v>44</v>
      </c>
      <c r="B1" s="194"/>
      <c r="C1" s="194"/>
      <c r="D1" s="194"/>
      <c r="E1" s="194"/>
      <c r="F1" s="194"/>
      <c r="G1" s="194"/>
      <c r="H1" s="194"/>
      <c r="I1" s="195"/>
      <c r="J1" s="194"/>
      <c r="K1" s="194"/>
      <c r="L1" s="194"/>
      <c r="M1" s="194"/>
      <c r="N1" s="194"/>
      <c r="O1" s="194"/>
      <c r="P1" s="194"/>
      <c r="Q1" s="194"/>
      <c r="R1" s="194"/>
      <c r="S1" s="194"/>
    </row>
    <row r="2" s="191" customFormat="1" ht="13.5" spans="1:28">
      <c r="A2" s="196" t="s">
        <v>45</v>
      </c>
      <c r="B2" s="196"/>
      <c r="C2" s="197"/>
      <c r="D2" s="197"/>
      <c r="E2" s="197"/>
      <c r="F2" s="196" t="s">
        <v>46</v>
      </c>
      <c r="G2" s="197"/>
      <c r="H2" s="197"/>
      <c r="I2" s="196" t="s">
        <v>47</v>
      </c>
      <c r="J2" s="197">
        <v>4453161089</v>
      </c>
      <c r="K2" s="197"/>
      <c r="L2" s="197"/>
      <c r="M2" s="197"/>
      <c r="N2" s="197"/>
      <c r="O2" s="198"/>
      <c r="P2" s="198"/>
      <c r="Q2" s="198"/>
      <c r="R2" s="198"/>
      <c r="S2" s="198"/>
    </row>
    <row r="3" s="191" customFormat="1" ht="12.75" spans="1:28">
      <c r="A3" s="199" t="s">
        <v>48</v>
      </c>
      <c r="B3" s="200"/>
      <c r="C3" s="200" t="s">
        <v>49</v>
      </c>
      <c r="D3" s="201"/>
      <c r="E3" s="202" t="s">
        <v>50</v>
      </c>
      <c r="F3" s="203" t="s">
        <v>51</v>
      </c>
      <c r="G3" s="204" t="s">
        <v>52</v>
      </c>
      <c r="H3" s="200"/>
      <c r="I3" s="205"/>
      <c r="J3" s="201"/>
      <c r="K3" s="204" t="s">
        <v>53</v>
      </c>
      <c r="L3" s="206">
        <f ca="1">委托书!I45</f>
        <v>46161</v>
      </c>
      <c r="M3" s="200"/>
      <c r="N3" s="201"/>
      <c r="O3" s="204" t="s">
        <v>54</v>
      </c>
      <c r="P3" s="200"/>
      <c r="Q3" s="200"/>
      <c r="R3" s="200"/>
      <c r="S3" s="207"/>
      <c r="U3" s="208" t="s">
        <v>55</v>
      </c>
      <c r="V3" s="209" t="s">
        <v>56</v>
      </c>
      <c r="W3" s="210"/>
      <c r="X3" s="210"/>
      <c r="Y3" s="210"/>
      <c r="Z3" s="210"/>
      <c r="AA3" s="211"/>
    </row>
    <row r="4" spans="1:28">
      <c r="A4" s="212" t="s">
        <v>57</v>
      </c>
      <c r="B4" s="213"/>
      <c r="C4" s="213"/>
      <c r="D4" s="214"/>
      <c r="E4" s="215" t="s">
        <v>58</v>
      </c>
      <c r="F4" s="216"/>
      <c r="G4" s="215"/>
      <c r="H4" s="217"/>
      <c r="I4" s="218"/>
      <c r="J4" s="219"/>
      <c r="K4" s="215"/>
      <c r="L4" s="217"/>
      <c r="M4" s="217"/>
      <c r="N4" s="216"/>
      <c r="O4" s="215"/>
      <c r="P4" s="217"/>
      <c r="Q4" s="217"/>
      <c r="R4" s="217"/>
      <c r="S4" s="220"/>
      <c r="U4" s="221" t="s">
        <v>59</v>
      </c>
      <c r="V4" s="222" t="str">
        <f>I12</f>
        <v>FOB</v>
      </c>
      <c r="W4" s="223" t="s">
        <v>60</v>
      </c>
      <c r="X4" s="224" t="s">
        <v>61</v>
      </c>
      <c r="Y4" s="223" t="s">
        <v>62</v>
      </c>
      <c r="Z4" s="224"/>
      <c r="AA4" s="225"/>
    </row>
    <row r="5" s="191" customFormat="1" ht="12.75" spans="1:28">
      <c r="A5" s="226" t="s">
        <v>63</v>
      </c>
      <c r="B5" s="227"/>
      <c r="C5" s="228" t="s">
        <v>64</v>
      </c>
      <c r="D5" s="229"/>
      <c r="E5" s="230" t="s">
        <v>65</v>
      </c>
      <c r="F5" s="231" t="s">
        <v>51</v>
      </c>
      <c r="G5" s="232" t="s">
        <v>66</v>
      </c>
      <c r="H5" s="233"/>
      <c r="I5" s="234"/>
      <c r="J5" s="235"/>
      <c r="K5" s="230" t="s">
        <v>67</v>
      </c>
      <c r="L5" s="233"/>
      <c r="M5" s="233"/>
      <c r="N5" s="235"/>
      <c r="O5" s="232"/>
      <c r="P5" s="233"/>
      <c r="Q5" s="233"/>
      <c r="R5" s="233"/>
      <c r="S5" s="236"/>
      <c r="U5" s="237" t="s">
        <v>68</v>
      </c>
      <c r="V5" s="238" t="str">
        <f>A4</f>
        <v>深圳市比苛电池有限公司</v>
      </c>
      <c r="W5" s="238"/>
      <c r="X5" s="238"/>
      <c r="Y5" s="238"/>
      <c r="Z5" s="238"/>
      <c r="AA5" s="225"/>
    </row>
    <row r="6" ht="20" customHeight="1" spans="1:28">
      <c r="A6" s="239" t="s">
        <v>69</v>
      </c>
      <c r="B6" s="240"/>
      <c r="C6" s="240"/>
      <c r="D6" s="241"/>
      <c r="E6" s="215"/>
      <c r="F6" s="216"/>
      <c r="G6" s="215"/>
      <c r="H6" s="217"/>
      <c r="I6" s="218"/>
      <c r="J6" s="216"/>
      <c r="K6" s="215"/>
      <c r="L6" s="217"/>
      <c r="M6" s="217"/>
      <c r="N6" s="216"/>
      <c r="O6" s="215"/>
      <c r="P6" s="217"/>
      <c r="Q6" s="217"/>
      <c r="R6" s="217"/>
      <c r="S6" s="220"/>
      <c r="U6" s="237" t="s">
        <v>70</v>
      </c>
      <c r="V6" s="238" t="s">
        <v>71</v>
      </c>
      <c r="W6" s="238"/>
      <c r="X6" s="238"/>
      <c r="Y6" s="238"/>
      <c r="Z6" s="238"/>
      <c r="AA6" s="225"/>
    </row>
    <row r="7" s="191" customFormat="1" ht="12.75" spans="1:28">
      <c r="A7" s="242" t="s">
        <v>72</v>
      </c>
      <c r="B7" s="233"/>
      <c r="C7" s="233" t="str">
        <f>C3</f>
        <v>9144030078527617XT</v>
      </c>
      <c r="D7" s="235"/>
      <c r="E7" s="230" t="s">
        <v>73</v>
      </c>
      <c r="F7" s="231" t="s">
        <v>51</v>
      </c>
      <c r="G7" s="230" t="s">
        <v>74</v>
      </c>
      <c r="H7" s="233" t="s">
        <v>51</v>
      </c>
      <c r="I7" s="234"/>
      <c r="J7" s="235"/>
      <c r="K7" s="230" t="s">
        <v>75</v>
      </c>
      <c r="L7" s="233"/>
      <c r="M7" s="233"/>
      <c r="N7" s="235"/>
      <c r="O7" s="230"/>
      <c r="P7" s="233"/>
      <c r="Q7" s="233"/>
      <c r="R7" s="233"/>
      <c r="S7" s="236"/>
      <c r="U7" s="221" t="s">
        <v>76</v>
      </c>
      <c r="V7" s="224" t="s">
        <v>77</v>
      </c>
      <c r="W7" s="224"/>
      <c r="X7" s="224" t="s">
        <v>78</v>
      </c>
      <c r="Y7" s="224" t="s">
        <v>79</v>
      </c>
      <c r="Z7" s="238"/>
      <c r="AA7" s="225"/>
    </row>
    <row r="8" spans="1:28">
      <c r="A8" s="212" t="str">
        <f>A4</f>
        <v>深圳市比苛电池有限公司</v>
      </c>
      <c r="B8" s="213"/>
      <c r="C8" s="213"/>
      <c r="D8" s="214"/>
      <c r="E8" s="243" t="s">
        <v>80</v>
      </c>
      <c r="F8" s="214"/>
      <c r="G8" s="243" t="s">
        <v>81</v>
      </c>
      <c r="H8" s="213"/>
      <c r="I8" s="244"/>
      <c r="J8" s="219"/>
      <c r="K8" s="215"/>
      <c r="L8" s="217"/>
      <c r="M8" s="217"/>
      <c r="N8" s="216"/>
      <c r="O8" s="215"/>
      <c r="P8" s="217"/>
      <c r="Q8" s="217"/>
      <c r="R8" s="217"/>
      <c r="S8" s="220"/>
      <c r="U8" s="237" t="s">
        <v>82</v>
      </c>
      <c r="V8" s="238" t="str">
        <f>A6</f>
        <v>DURNERGY Inc.</v>
      </c>
      <c r="W8" s="238"/>
      <c r="X8" s="238"/>
      <c r="Y8" s="238"/>
      <c r="Z8" s="238"/>
      <c r="AA8" s="225"/>
    </row>
    <row r="9" s="191" customFormat="1" ht="12.75" spans="1:28">
      <c r="A9" s="242" t="s">
        <v>83</v>
      </c>
      <c r="B9" s="233"/>
      <c r="C9" s="233"/>
      <c r="D9" s="235"/>
      <c r="E9" s="230" t="s">
        <v>84</v>
      </c>
      <c r="F9" s="231" t="s">
        <v>51</v>
      </c>
      <c r="G9" s="230" t="s">
        <v>85</v>
      </c>
      <c r="H9" s="233" t="s">
        <v>51</v>
      </c>
      <c r="I9" s="234"/>
      <c r="J9" s="233"/>
      <c r="K9" s="230" t="s">
        <v>86</v>
      </c>
      <c r="L9" s="233" t="s">
        <v>51</v>
      </c>
      <c r="M9" s="233"/>
      <c r="N9" s="235"/>
      <c r="O9" s="245" t="s">
        <v>87</v>
      </c>
      <c r="P9" s="233" t="s">
        <v>88</v>
      </c>
      <c r="Q9" s="233"/>
      <c r="R9" s="233"/>
      <c r="S9" s="236"/>
      <c r="U9" s="221" t="s">
        <v>89</v>
      </c>
      <c r="V9" s="224" t="s">
        <v>90</v>
      </c>
      <c r="W9" s="224"/>
      <c r="X9" s="224"/>
      <c r="Y9" s="224"/>
      <c r="Z9" s="238"/>
      <c r="AA9" s="225"/>
    </row>
    <row r="10" spans="1:28">
      <c r="A10" s="246" t="s">
        <v>91</v>
      </c>
      <c r="B10" s="240"/>
      <c r="C10" s="240"/>
      <c r="D10" s="241"/>
      <c r="E10" s="247" t="s">
        <v>92</v>
      </c>
      <c r="F10" s="248"/>
      <c r="G10" s="249" t="s">
        <v>92</v>
      </c>
      <c r="H10" s="250"/>
      <c r="I10" s="250"/>
      <c r="J10" s="250"/>
      <c r="K10" s="215" t="str">
        <f>G10</f>
        <v>美国</v>
      </c>
      <c r="L10" s="217"/>
      <c r="M10" s="217"/>
      <c r="N10" s="217"/>
      <c r="O10" s="215"/>
      <c r="P10" s="217"/>
      <c r="Q10" s="217"/>
      <c r="R10" s="217"/>
      <c r="S10" s="220"/>
      <c r="U10" s="237" t="s">
        <v>93</v>
      </c>
      <c r="V10" s="396" t="s">
        <v>94</v>
      </c>
      <c r="W10" s="238"/>
      <c r="X10" s="238" t="s">
        <v>95</v>
      </c>
      <c r="Y10" s="396" t="s">
        <v>96</v>
      </c>
      <c r="Z10" s="238"/>
      <c r="AA10" s="225"/>
    </row>
    <row r="11" s="191" customFormat="1" ht="13.5" spans="1:28">
      <c r="A11" s="242" t="s">
        <v>97</v>
      </c>
      <c r="B11" s="233"/>
      <c r="C11" s="233" t="s">
        <v>51</v>
      </c>
      <c r="D11" s="235"/>
      <c r="E11" s="252" t="s">
        <v>98</v>
      </c>
      <c r="F11" s="253" t="s">
        <v>99</v>
      </c>
      <c r="G11" s="232" t="s">
        <v>100</v>
      </c>
      <c r="H11" s="235"/>
      <c r="I11" s="254" t="s">
        <v>101</v>
      </c>
      <c r="J11" s="228" t="s">
        <v>102</v>
      </c>
      <c r="K11" s="230" t="s">
        <v>103</v>
      </c>
      <c r="L11" s="233"/>
      <c r="M11" s="235"/>
      <c r="N11" s="228" t="s">
        <v>104</v>
      </c>
      <c r="O11" s="233"/>
      <c r="P11" s="235"/>
      <c r="Q11" s="230" t="s">
        <v>105</v>
      </c>
      <c r="R11" s="255"/>
      <c r="S11" s="256"/>
      <c r="U11" s="257" t="s">
        <v>106</v>
      </c>
      <c r="V11" s="258"/>
      <c r="W11" s="258"/>
      <c r="X11" s="258" t="s">
        <v>107</v>
      </c>
      <c r="Y11" s="258"/>
      <c r="Z11" s="258"/>
      <c r="AA11" s="259"/>
    </row>
    <row r="12" spans="1:28">
      <c r="A12" s="212" t="s">
        <v>108</v>
      </c>
      <c r="B12" s="213"/>
      <c r="C12" s="213"/>
      <c r="D12" s="214"/>
      <c r="E12" s="260">
        <f>箱单!C18</f>
        <v>25</v>
      </c>
      <c r="F12" s="260">
        <f>箱单!F18</f>
        <v>210.2</v>
      </c>
      <c r="G12" s="261">
        <f>箱单!G18</f>
        <v>197.7</v>
      </c>
      <c r="H12" s="262"/>
      <c r="I12" s="263" t="s">
        <v>109</v>
      </c>
      <c r="J12" s="240"/>
      <c r="K12" s="263"/>
      <c r="L12" s="240"/>
      <c r="M12" s="241"/>
      <c r="N12" s="213"/>
      <c r="O12" s="213"/>
      <c r="P12" s="214"/>
      <c r="Q12" s="243"/>
      <c r="R12" s="213"/>
      <c r="S12" s="264"/>
      <c r="T12" s="265" t="s">
        <v>110</v>
      </c>
      <c r="U12" s="265"/>
      <c r="V12" s="265"/>
      <c r="W12" s="266" t="s">
        <v>111</v>
      </c>
      <c r="X12" s="266"/>
      <c r="Y12" s="266"/>
      <c r="Z12" s="266"/>
      <c r="AA12" s="266"/>
      <c r="AB12" s="266"/>
    </row>
    <row r="13" s="191" customFormat="1" ht="12.75" spans="1:28">
      <c r="A13" s="267" t="s">
        <v>112</v>
      </c>
      <c r="B13" s="268"/>
      <c r="C13" s="269"/>
      <c r="D13" s="269"/>
      <c r="E13" s="269"/>
      <c r="F13" s="269"/>
      <c r="G13" s="269"/>
      <c r="H13" s="269"/>
      <c r="I13" s="269"/>
      <c r="J13" s="269"/>
      <c r="K13" s="269"/>
      <c r="L13" s="269"/>
      <c r="M13" s="269"/>
      <c r="N13" s="269"/>
      <c r="O13" s="269"/>
      <c r="P13" s="269"/>
      <c r="Q13" s="269"/>
      <c r="R13" s="269"/>
      <c r="S13" s="270"/>
      <c r="T13" s="265" t="s">
        <v>113</v>
      </c>
      <c r="U13" s="265"/>
      <c r="V13" s="265"/>
      <c r="W13" s="266" t="s">
        <v>114</v>
      </c>
      <c r="X13" s="266"/>
      <c r="Y13" s="266"/>
      <c r="Z13" s="266"/>
      <c r="AA13" s="266"/>
      <c r="AB13" s="266"/>
    </row>
    <row r="14" s="191" customFormat="1" ht="13.5" spans="1:28">
      <c r="A14" s="271" t="s">
        <v>115</v>
      </c>
      <c r="B14" s="272"/>
      <c r="C14" s="272"/>
      <c r="D14" s="273" t="str">
        <f>A6</f>
        <v>DURNERGY Inc.</v>
      </c>
      <c r="E14" s="273"/>
      <c r="F14" s="273"/>
      <c r="G14" s="273"/>
      <c r="H14" s="273"/>
      <c r="I14" s="273"/>
      <c r="J14" s="273"/>
      <c r="K14" s="273"/>
      <c r="L14" s="273"/>
      <c r="M14" s="273"/>
      <c r="N14" s="273"/>
      <c r="O14" s="273"/>
      <c r="P14" s="273"/>
      <c r="Q14" s="273"/>
      <c r="R14" s="273"/>
      <c r="S14" s="274"/>
      <c r="T14" s="265" t="s">
        <v>116</v>
      </c>
      <c r="U14" s="265"/>
      <c r="V14" s="265"/>
      <c r="W14" s="266" t="s">
        <v>117</v>
      </c>
      <c r="X14" s="266"/>
      <c r="Y14" s="266"/>
      <c r="Z14" s="266"/>
      <c r="AA14" s="266"/>
      <c r="AB14" s="266"/>
    </row>
    <row r="15" s="191" customFormat="1" ht="13.5" spans="1:28">
      <c r="A15" s="275" t="s">
        <v>118</v>
      </c>
      <c r="B15" s="276"/>
      <c r="C15" s="277"/>
      <c r="D15" s="277"/>
      <c r="E15" s="277"/>
      <c r="F15" s="277"/>
      <c r="G15" s="277"/>
      <c r="H15" s="277"/>
      <c r="I15" s="277"/>
      <c r="J15" s="277"/>
      <c r="K15" s="277"/>
      <c r="L15" s="277"/>
      <c r="M15" s="277"/>
      <c r="N15" s="277"/>
      <c r="O15" s="277"/>
      <c r="P15" s="277"/>
      <c r="Q15" s="277"/>
      <c r="R15" s="277"/>
      <c r="S15" s="278"/>
      <c r="T15" s="279" t="s">
        <v>119</v>
      </c>
      <c r="U15" s="279"/>
      <c r="V15" s="279"/>
      <c r="W15" s="280" t="s">
        <v>120</v>
      </c>
      <c r="X15" s="14"/>
      <c r="Y15" s="14"/>
      <c r="Z15" s="14"/>
      <c r="AA15" s="14"/>
      <c r="AB15" s="14"/>
    </row>
    <row r="16" ht="16.5" spans="1:28">
      <c r="A16" s="275" t="s">
        <v>121</v>
      </c>
      <c r="B16" s="5"/>
      <c r="C16" s="5"/>
      <c r="D16" s="5"/>
      <c r="E16" s="5"/>
      <c r="F16" s="5"/>
      <c r="G16" s="5"/>
      <c r="H16" s="5"/>
      <c r="I16" s="5"/>
      <c r="J16" s="5"/>
      <c r="K16" s="5"/>
      <c r="L16" s="5"/>
      <c r="M16" s="5"/>
      <c r="N16" s="5"/>
      <c r="O16" s="5"/>
      <c r="P16" s="5"/>
      <c r="Q16" s="5"/>
      <c r="R16" s="5"/>
      <c r="S16" s="281"/>
      <c r="T16" s="279" t="s">
        <v>122</v>
      </c>
      <c r="U16" s="279"/>
      <c r="V16" s="279"/>
      <c r="W16" s="14" t="s">
        <v>123</v>
      </c>
      <c r="X16" s="14"/>
      <c r="Y16" s="14"/>
      <c r="Z16" s="14"/>
      <c r="AA16" s="14"/>
      <c r="AB16" s="14"/>
    </row>
    <row r="17" ht="16.5" spans="1:29">
      <c r="A17" s="282"/>
      <c r="B17" s="283"/>
      <c r="C17" s="283"/>
      <c r="D17" s="283"/>
      <c r="E17" s="283"/>
      <c r="F17" s="283"/>
      <c r="G17" s="283"/>
      <c r="H17" s="283"/>
      <c r="I17" s="283"/>
      <c r="J17" s="283"/>
      <c r="K17" s="283"/>
      <c r="L17" s="284" t="s">
        <v>124</v>
      </c>
      <c r="M17" s="284"/>
      <c r="N17" s="284"/>
      <c r="O17" s="277"/>
      <c r="P17" s="277"/>
      <c r="Q17" s="277"/>
      <c r="R17" s="277"/>
      <c r="S17" s="278"/>
      <c r="T17" s="285" t="s">
        <v>125</v>
      </c>
      <c r="U17" s="286"/>
      <c r="V17" s="287"/>
      <c r="W17" s="288" t="s">
        <v>126</v>
      </c>
      <c r="X17" s="266"/>
      <c r="Y17" s="266"/>
      <c r="Z17" s="266"/>
      <c r="AA17" s="266"/>
      <c r="AB17" s="266"/>
      <c r="AC17" s="266"/>
    </row>
    <row r="18" s="192" customFormat="1" ht="14.25" spans="1:29">
      <c r="A18" s="289" t="s">
        <v>127</v>
      </c>
      <c r="B18" s="290"/>
      <c r="C18" s="291"/>
      <c r="D18" s="292" t="s">
        <v>128</v>
      </c>
      <c r="E18" s="291"/>
      <c r="F18" s="293" t="s">
        <v>129</v>
      </c>
      <c r="G18" s="293"/>
      <c r="H18" s="291"/>
      <c r="I18" s="292" t="s">
        <v>130</v>
      </c>
      <c r="J18" s="293"/>
      <c r="K18" s="294" t="s">
        <v>131</v>
      </c>
      <c r="L18" s="295" t="s">
        <v>132</v>
      </c>
      <c r="M18" s="295"/>
      <c r="N18" s="295"/>
      <c r="O18" s="295"/>
      <c r="P18" s="295"/>
      <c r="Q18" s="295"/>
      <c r="R18" s="295"/>
      <c r="S18" s="296"/>
      <c r="T18" s="297">
        <f>SUM(T20:T426)</f>
        <v>0</v>
      </c>
      <c r="U18" s="298">
        <f>SUM(U20:U426)</f>
        <v>0</v>
      </c>
      <c r="V18" s="298">
        <f>SUM(V20:V426)</f>
        <v>0</v>
      </c>
    </row>
    <row r="19" s="191" customFormat="1" ht="12.75" spans="1:29">
      <c r="A19" s="299" t="s">
        <v>133</v>
      </c>
      <c r="B19" s="300" t="s">
        <v>134</v>
      </c>
      <c r="C19" s="300"/>
      <c r="D19" s="301" t="s">
        <v>135</v>
      </c>
      <c r="E19" s="301"/>
      <c r="F19" s="301"/>
      <c r="G19" s="301" t="s">
        <v>136</v>
      </c>
      <c r="H19" s="301"/>
      <c r="I19" s="300" t="s">
        <v>137</v>
      </c>
      <c r="J19" s="300"/>
      <c r="K19" s="301" t="s">
        <v>138</v>
      </c>
      <c r="L19" s="301"/>
      <c r="M19" s="301" t="s">
        <v>139</v>
      </c>
      <c r="N19" s="301"/>
      <c r="O19" s="301"/>
      <c r="P19" s="300" t="s">
        <v>140</v>
      </c>
      <c r="Q19" s="300"/>
      <c r="R19" s="300"/>
      <c r="S19" s="302" t="s">
        <v>141</v>
      </c>
      <c r="T19" s="303" t="s">
        <v>142</v>
      </c>
      <c r="U19" s="304" t="s">
        <v>143</v>
      </c>
      <c r="V19" s="304" t="s">
        <v>98</v>
      </c>
    </row>
    <row r="20" spans="1:29">
      <c r="A20" s="305">
        <v>1</v>
      </c>
      <c r="B20" s="306">
        <v>8507600090</v>
      </c>
      <c r="C20" s="306"/>
      <c r="D20" s="307" t="s">
        <v>144</v>
      </c>
      <c r="E20" s="307"/>
      <c r="F20" s="307"/>
      <c r="G20" s="308"/>
      <c r="H20" s="308"/>
      <c r="I20" s="309">
        <v>0.85</v>
      </c>
      <c r="J20" s="310"/>
      <c r="K20" s="311" t="s">
        <v>145</v>
      </c>
      <c r="L20" s="311"/>
      <c r="M20" s="312" t="str">
        <f>G10</f>
        <v>美国</v>
      </c>
      <c r="N20" s="312"/>
      <c r="O20" s="312"/>
      <c r="P20" s="313" t="s">
        <v>56</v>
      </c>
      <c r="Q20" s="313"/>
      <c r="R20" s="313"/>
      <c r="S20" s="314" t="s">
        <v>146</v>
      </c>
      <c r="T20" s="315"/>
      <c r="U20" s="316"/>
      <c r="V20" s="316"/>
    </row>
    <row r="21" spans="1:29">
      <c r="A21" s="305"/>
      <c r="B21" s="317">
        <v>102</v>
      </c>
      <c r="C21" s="317"/>
      <c r="D21" s="318" t="s">
        <v>147</v>
      </c>
      <c r="E21" s="318"/>
      <c r="F21" s="318"/>
      <c r="G21" s="319"/>
      <c r="H21" s="319"/>
      <c r="I21" s="320">
        <f>G22*I20</f>
        <v>24242</v>
      </c>
      <c r="J21" s="321"/>
      <c r="K21" s="311"/>
      <c r="L21" s="311"/>
      <c r="M21" s="311"/>
      <c r="N21" s="311"/>
      <c r="O21" s="311"/>
      <c r="P21" s="311"/>
      <c r="Q21" s="311"/>
      <c r="R21" s="311"/>
      <c r="S21" s="314"/>
      <c r="T21" s="315"/>
      <c r="U21" s="316"/>
      <c r="V21" s="316"/>
    </row>
    <row r="22" spans="1:29">
      <c r="A22" s="322"/>
      <c r="B22" s="217"/>
      <c r="C22" s="217"/>
      <c r="D22" s="323"/>
      <c r="E22" s="323"/>
      <c r="F22" s="323"/>
      <c r="G22" s="324">
        <v>28520</v>
      </c>
      <c r="H22" s="325" t="s">
        <v>148</v>
      </c>
      <c r="I22" s="218" t="s">
        <v>149</v>
      </c>
      <c r="J22" s="326"/>
      <c r="K22" s="326"/>
      <c r="L22" s="326"/>
      <c r="M22" s="326"/>
      <c r="N22" s="326"/>
      <c r="O22" s="326"/>
      <c r="P22" s="326"/>
      <c r="Q22" s="326"/>
      <c r="R22" s="326"/>
      <c r="S22" s="219"/>
      <c r="T22" s="315"/>
      <c r="U22" s="316"/>
      <c r="V22" s="316"/>
    </row>
    <row r="23" spans="1:29">
      <c r="A23" s="305">
        <v>21</v>
      </c>
      <c r="B23" s="327"/>
      <c r="C23" s="327"/>
      <c r="D23" s="328"/>
      <c r="E23" s="328"/>
      <c r="F23" s="328"/>
      <c r="G23" s="308"/>
      <c r="H23" s="308"/>
      <c r="I23" s="329"/>
      <c r="J23" s="311"/>
      <c r="K23" s="311"/>
      <c r="L23" s="311"/>
      <c r="M23" s="311"/>
      <c r="N23" s="311"/>
      <c r="O23" s="311"/>
      <c r="P23" s="311"/>
      <c r="Q23" s="311"/>
      <c r="R23" s="311"/>
      <c r="S23" s="314"/>
      <c r="T23" s="315"/>
      <c r="U23" s="316"/>
      <c r="V23" s="316"/>
    </row>
    <row r="24" spans="1:29">
      <c r="A24" s="305"/>
      <c r="B24" s="330"/>
      <c r="C24" s="330"/>
      <c r="D24" s="331"/>
      <c r="E24" s="331"/>
      <c r="F24" s="331"/>
      <c r="G24" s="319"/>
      <c r="H24" s="319"/>
      <c r="I24" s="329"/>
      <c r="J24" s="311"/>
      <c r="K24" s="311"/>
      <c r="L24" s="311"/>
      <c r="M24" s="311"/>
      <c r="N24" s="311"/>
      <c r="O24" s="311"/>
      <c r="P24" s="311"/>
      <c r="Q24" s="311"/>
      <c r="R24" s="311"/>
      <c r="S24" s="314"/>
      <c r="T24" s="315"/>
      <c r="U24" s="316"/>
      <c r="V24" s="316"/>
    </row>
    <row r="25" spans="1:29">
      <c r="A25" s="322"/>
      <c r="B25" s="217"/>
      <c r="C25" s="217"/>
      <c r="D25" s="332"/>
      <c r="E25" s="332"/>
      <c r="F25" s="332"/>
      <c r="G25" s="325"/>
      <c r="H25" s="325"/>
      <c r="I25" s="218"/>
      <c r="J25" s="326"/>
      <c r="K25" s="326"/>
      <c r="L25" s="326"/>
      <c r="M25" s="326"/>
      <c r="N25" s="326"/>
      <c r="O25" s="326"/>
      <c r="P25" s="326"/>
      <c r="Q25" s="326"/>
      <c r="R25" s="326"/>
      <c r="S25" s="219"/>
      <c r="T25" s="315"/>
      <c r="U25" s="316"/>
      <c r="V25" s="316"/>
    </row>
    <row r="26" spans="1:29">
      <c r="A26" s="305">
        <v>22</v>
      </c>
      <c r="B26" s="327"/>
      <c r="C26" s="327"/>
      <c r="D26" s="328"/>
      <c r="E26" s="328"/>
      <c r="F26" s="328"/>
      <c r="G26" s="308"/>
      <c r="H26" s="308"/>
      <c r="I26" s="329"/>
      <c r="J26" s="311"/>
      <c r="K26" s="311"/>
      <c r="L26" s="311"/>
      <c r="M26" s="311"/>
      <c r="N26" s="311"/>
      <c r="O26" s="311"/>
      <c r="P26" s="311"/>
      <c r="Q26" s="311"/>
      <c r="R26" s="311"/>
      <c r="S26" s="314"/>
      <c r="T26" s="315"/>
      <c r="U26" s="316"/>
      <c r="V26" s="316"/>
    </row>
    <row r="27" spans="1:29">
      <c r="A27" s="305"/>
      <c r="B27" s="330"/>
      <c r="C27" s="330"/>
      <c r="D27" s="331"/>
      <c r="E27" s="331"/>
      <c r="F27" s="331"/>
      <c r="G27" s="319"/>
      <c r="H27" s="319"/>
      <c r="I27" s="329"/>
      <c r="J27" s="311"/>
      <c r="K27" s="311"/>
      <c r="L27" s="311"/>
      <c r="M27" s="311"/>
      <c r="N27" s="311"/>
      <c r="O27" s="311"/>
      <c r="P27" s="311"/>
      <c r="Q27" s="311"/>
      <c r="R27" s="311"/>
      <c r="S27" s="314"/>
      <c r="T27" s="315"/>
      <c r="U27" s="316"/>
      <c r="V27" s="316"/>
    </row>
    <row r="28" spans="1:29">
      <c r="A28" s="322"/>
      <c r="B28" s="217"/>
      <c r="C28" s="217"/>
      <c r="D28" s="332"/>
      <c r="E28" s="332"/>
      <c r="F28" s="332"/>
      <c r="G28" s="325"/>
      <c r="H28" s="325"/>
      <c r="I28" s="218"/>
      <c r="J28" s="326"/>
      <c r="K28" s="326"/>
      <c r="L28" s="326"/>
      <c r="M28" s="326"/>
      <c r="N28" s="326"/>
      <c r="O28" s="326"/>
      <c r="P28" s="326"/>
      <c r="Q28" s="326"/>
      <c r="R28" s="326"/>
      <c r="S28" s="219"/>
      <c r="T28" s="315"/>
      <c r="U28" s="316"/>
      <c r="V28" s="316"/>
    </row>
    <row r="29" spans="1:29">
      <c r="A29" s="305">
        <v>23</v>
      </c>
      <c r="B29" s="327"/>
      <c r="C29" s="327"/>
      <c r="D29" s="328"/>
      <c r="E29" s="328"/>
      <c r="F29" s="328"/>
      <c r="G29" s="308"/>
      <c r="H29" s="308"/>
      <c r="I29" s="329"/>
      <c r="J29" s="311"/>
      <c r="K29" s="311"/>
      <c r="L29" s="311"/>
      <c r="M29" s="311"/>
      <c r="N29" s="311"/>
      <c r="O29" s="311"/>
      <c r="P29" s="311"/>
      <c r="Q29" s="311"/>
      <c r="R29" s="311"/>
      <c r="S29" s="314"/>
      <c r="T29" s="315"/>
      <c r="U29" s="316"/>
      <c r="V29" s="316"/>
    </row>
    <row r="30" spans="1:29">
      <c r="A30" s="305"/>
      <c r="B30" s="330"/>
      <c r="C30" s="330"/>
      <c r="D30" s="331"/>
      <c r="E30" s="331"/>
      <c r="F30" s="331"/>
      <c r="G30" s="319"/>
      <c r="H30" s="319"/>
      <c r="I30" s="329"/>
      <c r="J30" s="311"/>
      <c r="K30" s="311"/>
      <c r="L30" s="311"/>
      <c r="M30" s="311"/>
      <c r="N30" s="311"/>
      <c r="O30" s="311"/>
      <c r="P30" s="311"/>
      <c r="Q30" s="311"/>
      <c r="R30" s="311"/>
      <c r="S30" s="314"/>
      <c r="T30" s="315"/>
      <c r="U30" s="316"/>
      <c r="V30" s="316"/>
    </row>
    <row r="31" spans="1:29">
      <c r="A31" s="322"/>
      <c r="B31" s="217"/>
      <c r="C31" s="217"/>
      <c r="D31" s="332"/>
      <c r="E31" s="332"/>
      <c r="F31" s="332"/>
      <c r="G31" s="325"/>
      <c r="H31" s="325"/>
      <c r="I31" s="218"/>
      <c r="J31" s="326"/>
      <c r="K31" s="326"/>
      <c r="L31" s="326"/>
      <c r="M31" s="326"/>
      <c r="N31" s="326"/>
      <c r="O31" s="326"/>
      <c r="P31" s="326"/>
      <c r="Q31" s="326"/>
      <c r="R31" s="326"/>
      <c r="S31" s="219"/>
      <c r="T31" s="315"/>
      <c r="U31" s="316"/>
      <c r="V31" s="316"/>
    </row>
    <row r="32" spans="1:29">
      <c r="A32" s="305">
        <v>24</v>
      </c>
      <c r="B32" s="327"/>
      <c r="C32" s="327"/>
      <c r="D32" s="328"/>
      <c r="E32" s="328"/>
      <c r="F32" s="328"/>
      <c r="G32" s="308"/>
      <c r="H32" s="308"/>
      <c r="I32" s="329"/>
      <c r="J32" s="311"/>
      <c r="K32" s="311"/>
      <c r="L32" s="311"/>
      <c r="M32" s="311"/>
      <c r="N32" s="311"/>
      <c r="O32" s="311"/>
      <c r="P32" s="311"/>
      <c r="Q32" s="311"/>
      <c r="R32" s="311"/>
      <c r="S32" s="314"/>
      <c r="T32" s="315"/>
      <c r="U32" s="316"/>
      <c r="V32" s="316"/>
    </row>
    <row r="33" spans="1:22">
      <c r="A33" s="305"/>
      <c r="B33" s="330"/>
      <c r="C33" s="330"/>
      <c r="D33" s="331"/>
      <c r="E33" s="331"/>
      <c r="F33" s="331"/>
      <c r="G33" s="319"/>
      <c r="H33" s="319"/>
      <c r="I33" s="329"/>
      <c r="J33" s="311"/>
      <c r="K33" s="311"/>
      <c r="L33" s="311"/>
      <c r="M33" s="311"/>
      <c r="N33" s="311"/>
      <c r="O33" s="311"/>
      <c r="P33" s="311"/>
      <c r="Q33" s="311"/>
      <c r="R33" s="311"/>
      <c r="S33" s="314"/>
      <c r="T33" s="315"/>
      <c r="U33" s="316"/>
      <c r="V33" s="316"/>
    </row>
    <row r="34" spans="1:22">
      <c r="A34" s="322"/>
      <c r="B34" s="217"/>
      <c r="C34" s="217"/>
      <c r="D34" s="332"/>
      <c r="E34" s="332"/>
      <c r="F34" s="332"/>
      <c r="G34" s="325"/>
      <c r="H34" s="325"/>
      <c r="I34" s="218"/>
      <c r="J34" s="326"/>
      <c r="K34" s="326"/>
      <c r="L34" s="326"/>
      <c r="M34" s="326"/>
      <c r="N34" s="326"/>
      <c r="O34" s="326"/>
      <c r="P34" s="326"/>
      <c r="Q34" s="326"/>
      <c r="R34" s="326"/>
      <c r="S34" s="219"/>
      <c r="T34" s="315"/>
      <c r="U34" s="316"/>
      <c r="V34" s="316"/>
    </row>
    <row r="35" spans="1:22">
      <c r="A35" s="305">
        <v>25</v>
      </c>
      <c r="B35" s="327"/>
      <c r="C35" s="327"/>
      <c r="D35" s="328"/>
      <c r="E35" s="328"/>
      <c r="F35" s="328"/>
      <c r="G35" s="308"/>
      <c r="H35" s="308"/>
      <c r="I35" s="329"/>
      <c r="J35" s="311"/>
      <c r="K35" s="311"/>
      <c r="L35" s="311"/>
      <c r="M35" s="311"/>
      <c r="N35" s="311"/>
      <c r="O35" s="311"/>
      <c r="P35" s="311"/>
      <c r="Q35" s="311"/>
      <c r="R35" s="311"/>
      <c r="S35" s="314"/>
      <c r="T35" s="315"/>
      <c r="U35" s="316"/>
      <c r="V35" s="316"/>
    </row>
    <row r="36" spans="1:22">
      <c r="A36" s="305"/>
      <c r="B36" s="330"/>
      <c r="C36" s="330"/>
      <c r="D36" s="331"/>
      <c r="E36" s="331"/>
      <c r="F36" s="331"/>
      <c r="G36" s="319"/>
      <c r="H36" s="319"/>
      <c r="I36" s="329"/>
      <c r="J36" s="311"/>
      <c r="K36" s="311"/>
      <c r="L36" s="311"/>
      <c r="M36" s="311"/>
      <c r="N36" s="311"/>
      <c r="O36" s="311"/>
      <c r="P36" s="311"/>
      <c r="Q36" s="311"/>
      <c r="R36" s="311"/>
      <c r="S36" s="314"/>
      <c r="T36" s="315"/>
      <c r="U36" s="316"/>
      <c r="V36" s="316"/>
    </row>
    <row r="37" spans="1:22">
      <c r="A37" s="322"/>
      <c r="B37" s="217"/>
      <c r="C37" s="217"/>
      <c r="D37" s="332"/>
      <c r="E37" s="332"/>
      <c r="F37" s="332"/>
      <c r="G37" s="325"/>
      <c r="H37" s="325"/>
      <c r="I37" s="218"/>
      <c r="J37" s="326"/>
      <c r="K37" s="326"/>
      <c r="L37" s="326"/>
      <c r="M37" s="326"/>
      <c r="N37" s="326"/>
      <c r="O37" s="326"/>
      <c r="P37" s="326"/>
      <c r="Q37" s="326"/>
      <c r="R37" s="326"/>
      <c r="S37" s="219"/>
      <c r="T37" s="315"/>
      <c r="U37" s="316"/>
      <c r="V37" s="316"/>
    </row>
    <row r="38" spans="1:22">
      <c r="A38" s="305">
        <v>26</v>
      </c>
      <c r="B38" s="327"/>
      <c r="C38" s="327"/>
      <c r="D38" s="328"/>
      <c r="E38" s="328"/>
      <c r="F38" s="328"/>
      <c r="G38" s="308"/>
      <c r="H38" s="308"/>
      <c r="I38" s="329"/>
      <c r="J38" s="311"/>
      <c r="K38" s="311"/>
      <c r="L38" s="311"/>
      <c r="M38" s="311"/>
      <c r="N38" s="311"/>
      <c r="O38" s="311"/>
      <c r="P38" s="311"/>
      <c r="Q38" s="311"/>
      <c r="R38" s="311"/>
      <c r="S38" s="314"/>
      <c r="T38" s="315"/>
      <c r="U38" s="316"/>
      <c r="V38" s="316"/>
    </row>
    <row r="39" spans="1:22">
      <c r="A39" s="305"/>
      <c r="B39" s="330"/>
      <c r="C39" s="330"/>
      <c r="D39" s="331"/>
      <c r="E39" s="331"/>
      <c r="F39" s="331"/>
      <c r="G39" s="319"/>
      <c r="H39" s="319"/>
      <c r="I39" s="329"/>
      <c r="J39" s="311"/>
      <c r="K39" s="311"/>
      <c r="L39" s="311"/>
      <c r="M39" s="311"/>
      <c r="N39" s="311"/>
      <c r="O39" s="311"/>
      <c r="P39" s="311"/>
      <c r="Q39" s="311"/>
      <c r="R39" s="311"/>
      <c r="S39" s="314"/>
      <c r="T39" s="315"/>
      <c r="U39" s="316"/>
      <c r="V39" s="316"/>
    </row>
    <row r="40" spans="1:22">
      <c r="A40" s="322"/>
      <c r="B40" s="217"/>
      <c r="C40" s="217"/>
      <c r="D40" s="332"/>
      <c r="E40" s="332"/>
      <c r="F40" s="332"/>
      <c r="G40" s="325"/>
      <c r="H40" s="325"/>
      <c r="I40" s="218"/>
      <c r="J40" s="326"/>
      <c r="K40" s="326"/>
      <c r="L40" s="326"/>
      <c r="M40" s="326"/>
      <c r="N40" s="326"/>
      <c r="O40" s="326"/>
      <c r="P40" s="326"/>
      <c r="Q40" s="326"/>
      <c r="R40" s="326"/>
      <c r="S40" s="219"/>
      <c r="T40" s="315"/>
      <c r="U40" s="316"/>
      <c r="V40" s="316"/>
    </row>
    <row r="41" spans="1:22">
      <c r="A41" s="305">
        <v>27</v>
      </c>
      <c r="B41" s="327"/>
      <c r="C41" s="327"/>
      <c r="D41" s="328"/>
      <c r="E41" s="328"/>
      <c r="F41" s="328"/>
      <c r="G41" s="308"/>
      <c r="H41" s="308"/>
      <c r="I41" s="329"/>
      <c r="J41" s="311"/>
      <c r="K41" s="311"/>
      <c r="L41" s="311"/>
      <c r="M41" s="311"/>
      <c r="N41" s="311"/>
      <c r="O41" s="311"/>
      <c r="P41" s="311"/>
      <c r="Q41" s="311"/>
      <c r="R41" s="311"/>
      <c r="S41" s="314"/>
      <c r="T41" s="315"/>
      <c r="U41" s="316"/>
      <c r="V41" s="316"/>
    </row>
    <row r="42" spans="1:22">
      <c r="A42" s="305"/>
      <c r="B42" s="330"/>
      <c r="C42" s="330"/>
      <c r="D42" s="331"/>
      <c r="E42" s="331"/>
      <c r="F42" s="331"/>
      <c r="G42" s="319"/>
      <c r="H42" s="319"/>
      <c r="I42" s="329"/>
      <c r="J42" s="311"/>
      <c r="K42" s="311"/>
      <c r="L42" s="311"/>
      <c r="M42" s="311"/>
      <c r="N42" s="311"/>
      <c r="O42" s="311"/>
      <c r="P42" s="311"/>
      <c r="Q42" s="311"/>
      <c r="R42" s="311"/>
      <c r="S42" s="314"/>
      <c r="T42" s="315"/>
      <c r="U42" s="316"/>
      <c r="V42" s="316"/>
    </row>
    <row r="43" spans="1:22">
      <c r="A43" s="322"/>
      <c r="B43" s="217"/>
      <c r="C43" s="217"/>
      <c r="D43" s="332"/>
      <c r="E43" s="332"/>
      <c r="F43" s="332"/>
      <c r="G43" s="325"/>
      <c r="H43" s="325"/>
      <c r="I43" s="218"/>
      <c r="J43" s="326"/>
      <c r="K43" s="326"/>
      <c r="L43" s="326"/>
      <c r="M43" s="326"/>
      <c r="N43" s="326"/>
      <c r="O43" s="326"/>
      <c r="P43" s="326"/>
      <c r="Q43" s="326"/>
      <c r="R43" s="326"/>
      <c r="S43" s="219"/>
      <c r="T43" s="315"/>
      <c r="U43" s="316"/>
      <c r="V43" s="316"/>
    </row>
    <row r="44" spans="1:22">
      <c r="A44" s="305">
        <v>28</v>
      </c>
      <c r="B44" s="327"/>
      <c r="C44" s="327"/>
      <c r="D44" s="328"/>
      <c r="E44" s="328"/>
      <c r="F44" s="328"/>
      <c r="G44" s="308"/>
      <c r="H44" s="308"/>
      <c r="I44" s="329"/>
      <c r="J44" s="311"/>
      <c r="K44" s="311"/>
      <c r="L44" s="311"/>
      <c r="M44" s="311"/>
      <c r="N44" s="311"/>
      <c r="O44" s="311"/>
      <c r="P44" s="311"/>
      <c r="Q44" s="311"/>
      <c r="R44" s="311"/>
      <c r="S44" s="314"/>
      <c r="T44" s="315"/>
      <c r="U44" s="316"/>
      <c r="V44" s="316"/>
    </row>
    <row r="45" spans="1:22">
      <c r="A45" s="305"/>
      <c r="B45" s="330"/>
      <c r="C45" s="330"/>
      <c r="D45" s="331"/>
      <c r="E45" s="331"/>
      <c r="F45" s="331"/>
      <c r="G45" s="319"/>
      <c r="H45" s="319"/>
      <c r="I45" s="329"/>
      <c r="J45" s="311"/>
      <c r="K45" s="311"/>
      <c r="L45" s="311"/>
      <c r="M45" s="311"/>
      <c r="N45" s="311"/>
      <c r="O45" s="311"/>
      <c r="P45" s="311"/>
      <c r="Q45" s="311"/>
      <c r="R45" s="311"/>
      <c r="S45" s="314"/>
      <c r="T45" s="315"/>
      <c r="U45" s="316"/>
      <c r="V45" s="316"/>
    </row>
    <row r="46" spans="1:22">
      <c r="A46" s="322"/>
      <c r="B46" s="217"/>
      <c r="C46" s="217"/>
      <c r="D46" s="332"/>
      <c r="E46" s="332"/>
      <c r="F46" s="332"/>
      <c r="G46" s="325"/>
      <c r="H46" s="325"/>
      <c r="I46" s="218"/>
      <c r="J46" s="326"/>
      <c r="K46" s="326"/>
      <c r="L46" s="326"/>
      <c r="M46" s="326"/>
      <c r="N46" s="326"/>
      <c r="O46" s="326"/>
      <c r="P46" s="326"/>
      <c r="Q46" s="326"/>
      <c r="R46" s="326"/>
      <c r="S46" s="219"/>
      <c r="T46" s="315"/>
      <c r="U46" s="316"/>
      <c r="V46" s="316"/>
    </row>
    <row r="47" spans="1:22">
      <c r="A47" s="305">
        <v>29</v>
      </c>
      <c r="B47" s="327"/>
      <c r="C47" s="327"/>
      <c r="D47" s="328"/>
      <c r="E47" s="328"/>
      <c r="F47" s="328"/>
      <c r="G47" s="308"/>
      <c r="H47" s="308"/>
      <c r="I47" s="329"/>
      <c r="J47" s="311"/>
      <c r="K47" s="311"/>
      <c r="L47" s="311"/>
      <c r="M47" s="311"/>
      <c r="N47" s="311"/>
      <c r="O47" s="311"/>
      <c r="P47" s="311"/>
      <c r="Q47" s="311"/>
      <c r="R47" s="311"/>
      <c r="S47" s="314"/>
      <c r="T47" s="315"/>
      <c r="U47" s="316"/>
      <c r="V47" s="316"/>
    </row>
    <row r="48" spans="1:22">
      <c r="A48" s="305"/>
      <c r="B48" s="330"/>
      <c r="C48" s="330"/>
      <c r="D48" s="331"/>
      <c r="E48" s="331"/>
      <c r="F48" s="331"/>
      <c r="G48" s="319"/>
      <c r="H48" s="319"/>
      <c r="I48" s="329"/>
      <c r="J48" s="311"/>
      <c r="K48" s="311"/>
      <c r="L48" s="311"/>
      <c r="M48" s="311"/>
      <c r="N48" s="311"/>
      <c r="O48" s="311"/>
      <c r="P48" s="311"/>
      <c r="Q48" s="311"/>
      <c r="R48" s="311"/>
      <c r="S48" s="314"/>
      <c r="T48" s="315"/>
      <c r="U48" s="316"/>
      <c r="V48" s="316"/>
    </row>
    <row r="49" spans="1:22">
      <c r="A49" s="322"/>
      <c r="B49" s="217"/>
      <c r="C49" s="217"/>
      <c r="D49" s="332"/>
      <c r="E49" s="332"/>
      <c r="F49" s="332"/>
      <c r="G49" s="325"/>
      <c r="H49" s="325"/>
      <c r="I49" s="218"/>
      <c r="J49" s="326"/>
      <c r="K49" s="326"/>
      <c r="L49" s="326"/>
      <c r="M49" s="326"/>
      <c r="N49" s="326"/>
      <c r="O49" s="326"/>
      <c r="P49" s="326"/>
      <c r="Q49" s="326"/>
      <c r="R49" s="326"/>
      <c r="S49" s="219"/>
      <c r="T49" s="315"/>
      <c r="U49" s="316"/>
      <c r="V49" s="316"/>
    </row>
    <row r="50" spans="1:22">
      <c r="A50" s="305">
        <v>30</v>
      </c>
      <c r="B50" s="327"/>
      <c r="C50" s="327"/>
      <c r="D50" s="328"/>
      <c r="E50" s="328"/>
      <c r="F50" s="328"/>
      <c r="G50" s="308"/>
      <c r="H50" s="308"/>
      <c r="I50" s="329"/>
      <c r="J50" s="311"/>
      <c r="K50" s="311"/>
      <c r="L50" s="311"/>
      <c r="M50" s="311"/>
      <c r="N50" s="311"/>
      <c r="O50" s="311"/>
      <c r="P50" s="311"/>
      <c r="Q50" s="311"/>
      <c r="R50" s="311"/>
      <c r="S50" s="314"/>
      <c r="T50" s="315"/>
      <c r="U50" s="316"/>
      <c r="V50" s="316"/>
    </row>
    <row r="51" spans="1:22">
      <c r="A51" s="305"/>
      <c r="B51" s="330"/>
      <c r="C51" s="330"/>
      <c r="D51" s="331"/>
      <c r="E51" s="331"/>
      <c r="F51" s="331"/>
      <c r="G51" s="319"/>
      <c r="H51" s="319"/>
      <c r="I51" s="329"/>
      <c r="J51" s="311"/>
      <c r="K51" s="311"/>
      <c r="L51" s="311"/>
      <c r="M51" s="311"/>
      <c r="N51" s="311"/>
      <c r="O51" s="311"/>
      <c r="P51" s="311"/>
      <c r="Q51" s="311"/>
      <c r="R51" s="311"/>
      <c r="S51" s="314"/>
      <c r="T51" s="315"/>
      <c r="U51" s="316"/>
      <c r="V51" s="316"/>
    </row>
    <row r="52" spans="1:22">
      <c r="A52" s="322"/>
      <c r="B52" s="217"/>
      <c r="C52" s="217"/>
      <c r="D52" s="332"/>
      <c r="E52" s="332"/>
      <c r="F52" s="332"/>
      <c r="G52" s="325"/>
      <c r="H52" s="325"/>
      <c r="I52" s="218"/>
      <c r="J52" s="326"/>
      <c r="K52" s="326"/>
      <c r="L52" s="326"/>
      <c r="M52" s="326"/>
      <c r="N52" s="326"/>
      <c r="O52" s="326"/>
      <c r="P52" s="326"/>
      <c r="Q52" s="326"/>
      <c r="R52" s="326"/>
      <c r="S52" s="219"/>
      <c r="T52" s="315"/>
      <c r="U52" s="316"/>
      <c r="V52" s="316"/>
    </row>
    <row r="53" spans="1:22">
      <c r="A53" s="305">
        <v>31</v>
      </c>
      <c r="B53" s="327"/>
      <c r="C53" s="327"/>
      <c r="D53" s="328"/>
      <c r="E53" s="328"/>
      <c r="F53" s="328"/>
      <c r="G53" s="308"/>
      <c r="H53" s="308"/>
      <c r="I53" s="329"/>
      <c r="J53" s="311"/>
      <c r="K53" s="311"/>
      <c r="L53" s="311"/>
      <c r="M53" s="311"/>
      <c r="N53" s="311"/>
      <c r="O53" s="311"/>
      <c r="P53" s="311"/>
      <c r="Q53" s="311"/>
      <c r="R53" s="311"/>
      <c r="S53" s="314"/>
      <c r="T53" s="315"/>
      <c r="U53" s="316"/>
      <c r="V53" s="316"/>
    </row>
    <row r="54" spans="1:22">
      <c r="A54" s="305"/>
      <c r="B54" s="330"/>
      <c r="C54" s="330"/>
      <c r="D54" s="331"/>
      <c r="E54" s="331"/>
      <c r="F54" s="331"/>
      <c r="G54" s="319"/>
      <c r="H54" s="319"/>
      <c r="I54" s="329"/>
      <c r="J54" s="311"/>
      <c r="K54" s="311"/>
      <c r="L54" s="311"/>
      <c r="M54" s="311"/>
      <c r="N54" s="311"/>
      <c r="O54" s="311"/>
      <c r="P54" s="311"/>
      <c r="Q54" s="311"/>
      <c r="R54" s="311"/>
      <c r="S54" s="314"/>
      <c r="T54" s="315"/>
      <c r="U54" s="316"/>
      <c r="V54" s="316"/>
    </row>
    <row r="55" spans="1:22">
      <c r="A55" s="322"/>
      <c r="B55" s="217"/>
      <c r="C55" s="217"/>
      <c r="D55" s="332"/>
      <c r="E55" s="332"/>
      <c r="F55" s="332"/>
      <c r="G55" s="325"/>
      <c r="H55" s="325"/>
      <c r="I55" s="218"/>
      <c r="J55" s="326"/>
      <c r="K55" s="326"/>
      <c r="L55" s="326"/>
      <c r="M55" s="326"/>
      <c r="N55" s="326"/>
      <c r="O55" s="326"/>
      <c r="P55" s="326"/>
      <c r="Q55" s="326"/>
      <c r="R55" s="326"/>
      <c r="S55" s="219"/>
      <c r="T55" s="315"/>
      <c r="U55" s="316"/>
      <c r="V55" s="316"/>
    </row>
    <row r="56" spans="1:22">
      <c r="A56" s="305">
        <v>32</v>
      </c>
      <c r="B56" s="327"/>
      <c r="C56" s="327"/>
      <c r="D56" s="328"/>
      <c r="E56" s="328"/>
      <c r="F56" s="328"/>
      <c r="G56" s="308"/>
      <c r="H56" s="308"/>
      <c r="I56" s="329"/>
      <c r="J56" s="311"/>
      <c r="K56" s="311"/>
      <c r="L56" s="311"/>
      <c r="M56" s="311"/>
      <c r="N56" s="311"/>
      <c r="O56" s="311"/>
      <c r="P56" s="311"/>
      <c r="Q56" s="311"/>
      <c r="R56" s="311"/>
      <c r="S56" s="314"/>
      <c r="T56" s="315"/>
      <c r="U56" s="316"/>
      <c r="V56" s="316"/>
    </row>
    <row r="57" spans="1:22">
      <c r="A57" s="305"/>
      <c r="B57" s="330"/>
      <c r="C57" s="330"/>
      <c r="D57" s="331"/>
      <c r="E57" s="331"/>
      <c r="F57" s="331"/>
      <c r="G57" s="319"/>
      <c r="H57" s="319"/>
      <c r="I57" s="329"/>
      <c r="J57" s="311"/>
      <c r="K57" s="311"/>
      <c r="L57" s="311"/>
      <c r="M57" s="311"/>
      <c r="N57" s="311"/>
      <c r="O57" s="311"/>
      <c r="P57" s="311"/>
      <c r="Q57" s="311"/>
      <c r="R57" s="311"/>
      <c r="S57" s="314"/>
      <c r="T57" s="315"/>
      <c r="U57" s="316"/>
      <c r="V57" s="316"/>
    </row>
    <row r="58" spans="1:22">
      <c r="A58" s="322"/>
      <c r="B58" s="217"/>
      <c r="C58" s="217"/>
      <c r="D58" s="332"/>
      <c r="E58" s="332"/>
      <c r="F58" s="332"/>
      <c r="G58" s="325"/>
      <c r="H58" s="325"/>
      <c r="I58" s="218"/>
      <c r="J58" s="326"/>
      <c r="K58" s="326"/>
      <c r="L58" s="326"/>
      <c r="M58" s="326"/>
      <c r="N58" s="326"/>
      <c r="O58" s="326"/>
      <c r="P58" s="326"/>
      <c r="Q58" s="326"/>
      <c r="R58" s="326"/>
      <c r="S58" s="219"/>
      <c r="T58" s="315"/>
      <c r="U58" s="316"/>
      <c r="V58" s="316"/>
    </row>
    <row r="59" spans="1:22">
      <c r="A59" s="305">
        <v>33</v>
      </c>
      <c r="B59" s="327"/>
      <c r="C59" s="327"/>
      <c r="D59" s="328"/>
      <c r="E59" s="328"/>
      <c r="F59" s="328"/>
      <c r="G59" s="308"/>
      <c r="H59" s="308"/>
      <c r="I59" s="329"/>
      <c r="J59" s="311"/>
      <c r="K59" s="311"/>
      <c r="L59" s="311"/>
      <c r="M59" s="311"/>
      <c r="N59" s="311"/>
      <c r="O59" s="311"/>
      <c r="P59" s="311"/>
      <c r="Q59" s="311"/>
      <c r="R59" s="311"/>
      <c r="S59" s="314"/>
      <c r="T59" s="315"/>
      <c r="U59" s="316"/>
      <c r="V59" s="316"/>
    </row>
    <row r="60" spans="1:22">
      <c r="A60" s="305"/>
      <c r="B60" s="330"/>
      <c r="C60" s="330"/>
      <c r="D60" s="331"/>
      <c r="E60" s="331"/>
      <c r="F60" s="331"/>
      <c r="G60" s="319"/>
      <c r="H60" s="319"/>
      <c r="I60" s="329"/>
      <c r="J60" s="311"/>
      <c r="K60" s="311"/>
      <c r="L60" s="311"/>
      <c r="M60" s="311"/>
      <c r="N60" s="311"/>
      <c r="O60" s="311"/>
      <c r="P60" s="311"/>
      <c r="Q60" s="311"/>
      <c r="R60" s="311"/>
      <c r="S60" s="314"/>
      <c r="T60" s="315"/>
      <c r="U60" s="316"/>
      <c r="V60" s="316"/>
    </row>
    <row r="61" spans="1:22">
      <c r="A61" s="322"/>
      <c r="B61" s="217"/>
      <c r="C61" s="217"/>
      <c r="D61" s="332"/>
      <c r="E61" s="332"/>
      <c r="F61" s="332"/>
      <c r="G61" s="325"/>
      <c r="H61" s="325"/>
      <c r="I61" s="218"/>
      <c r="J61" s="326"/>
      <c r="K61" s="326"/>
      <c r="L61" s="326"/>
      <c r="M61" s="326"/>
      <c r="N61" s="326"/>
      <c r="O61" s="326"/>
      <c r="P61" s="326"/>
      <c r="Q61" s="326"/>
      <c r="R61" s="326"/>
      <c r="S61" s="219"/>
      <c r="T61" s="315"/>
      <c r="U61" s="316"/>
      <c r="V61" s="316"/>
    </row>
    <row r="62" spans="1:22">
      <c r="A62" s="305">
        <v>34</v>
      </c>
      <c r="B62" s="327"/>
      <c r="C62" s="327"/>
      <c r="D62" s="328"/>
      <c r="E62" s="328"/>
      <c r="F62" s="328"/>
      <c r="G62" s="308"/>
      <c r="H62" s="308"/>
      <c r="I62" s="329"/>
      <c r="J62" s="311"/>
      <c r="K62" s="311"/>
      <c r="L62" s="311"/>
      <c r="M62" s="311"/>
      <c r="N62" s="311"/>
      <c r="O62" s="311"/>
      <c r="P62" s="311"/>
      <c r="Q62" s="311"/>
      <c r="R62" s="311"/>
      <c r="S62" s="314"/>
      <c r="T62" s="315"/>
      <c r="U62" s="316"/>
      <c r="V62" s="316"/>
    </row>
    <row r="63" spans="1:22">
      <c r="A63" s="305"/>
      <c r="B63" s="330"/>
      <c r="C63" s="330"/>
      <c r="D63" s="331"/>
      <c r="E63" s="331"/>
      <c r="F63" s="331"/>
      <c r="G63" s="319"/>
      <c r="H63" s="319"/>
      <c r="I63" s="329"/>
      <c r="J63" s="311"/>
      <c r="K63" s="311"/>
      <c r="L63" s="311"/>
      <c r="M63" s="311"/>
      <c r="N63" s="311"/>
      <c r="O63" s="311"/>
      <c r="P63" s="311"/>
      <c r="Q63" s="311"/>
      <c r="R63" s="311"/>
      <c r="S63" s="314"/>
      <c r="T63" s="315"/>
      <c r="U63" s="316"/>
      <c r="V63" s="316"/>
    </row>
    <row r="64" spans="1:22">
      <c r="A64" s="322"/>
      <c r="B64" s="217"/>
      <c r="C64" s="217"/>
      <c r="D64" s="332"/>
      <c r="E64" s="332"/>
      <c r="F64" s="332"/>
      <c r="G64" s="325"/>
      <c r="H64" s="325"/>
      <c r="I64" s="218"/>
      <c r="J64" s="326"/>
      <c r="K64" s="326"/>
      <c r="L64" s="326"/>
      <c r="M64" s="326"/>
      <c r="N64" s="326"/>
      <c r="O64" s="326"/>
      <c r="P64" s="326"/>
      <c r="Q64" s="326"/>
      <c r="R64" s="326"/>
      <c r="S64" s="219"/>
      <c r="T64" s="315"/>
      <c r="U64" s="316"/>
      <c r="V64" s="316"/>
    </row>
    <row r="65" spans="1:22">
      <c r="A65" s="305">
        <v>35</v>
      </c>
      <c r="B65" s="327"/>
      <c r="C65" s="327"/>
      <c r="D65" s="328"/>
      <c r="E65" s="328"/>
      <c r="F65" s="328"/>
      <c r="G65" s="308"/>
      <c r="H65" s="308"/>
      <c r="I65" s="329"/>
      <c r="J65" s="311"/>
      <c r="K65" s="311"/>
      <c r="L65" s="311"/>
      <c r="M65" s="311"/>
      <c r="N65" s="311"/>
      <c r="O65" s="311"/>
      <c r="P65" s="311"/>
      <c r="Q65" s="311"/>
      <c r="R65" s="311"/>
      <c r="S65" s="314"/>
      <c r="T65" s="315"/>
      <c r="U65" s="316"/>
      <c r="V65" s="316"/>
    </row>
    <row r="66" spans="1:22">
      <c r="A66" s="305"/>
      <c r="B66" s="330"/>
      <c r="C66" s="330"/>
      <c r="D66" s="331"/>
      <c r="E66" s="331"/>
      <c r="F66" s="331"/>
      <c r="G66" s="319"/>
      <c r="H66" s="319"/>
      <c r="I66" s="329"/>
      <c r="J66" s="311"/>
      <c r="K66" s="311"/>
      <c r="L66" s="311"/>
      <c r="M66" s="311"/>
      <c r="N66" s="311"/>
      <c r="O66" s="311"/>
      <c r="P66" s="311"/>
      <c r="Q66" s="311"/>
      <c r="R66" s="311"/>
      <c r="S66" s="314"/>
      <c r="T66" s="315"/>
      <c r="U66" s="316"/>
      <c r="V66" s="316"/>
    </row>
    <row r="67" spans="1:22">
      <c r="A67" s="322"/>
      <c r="B67" s="217"/>
      <c r="C67" s="217"/>
      <c r="D67" s="332"/>
      <c r="E67" s="332"/>
      <c r="F67" s="332"/>
      <c r="G67" s="325"/>
      <c r="H67" s="325"/>
      <c r="I67" s="218"/>
      <c r="J67" s="326"/>
      <c r="K67" s="326"/>
      <c r="L67" s="326"/>
      <c r="M67" s="326"/>
      <c r="N67" s="326"/>
      <c r="O67" s="326"/>
      <c r="P67" s="326"/>
      <c r="Q67" s="326"/>
      <c r="R67" s="326"/>
      <c r="S67" s="219"/>
      <c r="T67" s="315"/>
      <c r="U67" s="316"/>
      <c r="V67" s="316"/>
    </row>
    <row r="68" spans="1:22">
      <c r="A68" s="305">
        <v>36</v>
      </c>
      <c r="B68" s="327"/>
      <c r="C68" s="327"/>
      <c r="D68" s="328"/>
      <c r="E68" s="328"/>
      <c r="F68" s="328"/>
      <c r="G68" s="308"/>
      <c r="H68" s="308"/>
      <c r="I68" s="329"/>
      <c r="J68" s="311"/>
      <c r="K68" s="311"/>
      <c r="L68" s="311"/>
      <c r="M68" s="311"/>
      <c r="N68" s="311"/>
      <c r="O68" s="311"/>
      <c r="P68" s="311"/>
      <c r="Q68" s="311"/>
      <c r="R68" s="311"/>
      <c r="S68" s="314"/>
      <c r="T68" s="315"/>
      <c r="U68" s="316"/>
      <c r="V68" s="316"/>
    </row>
    <row r="69" spans="1:22">
      <c r="A69" s="305"/>
      <c r="B69" s="330"/>
      <c r="C69" s="330"/>
      <c r="D69" s="331"/>
      <c r="E69" s="331"/>
      <c r="F69" s="331"/>
      <c r="G69" s="319"/>
      <c r="H69" s="319"/>
      <c r="I69" s="329"/>
      <c r="J69" s="311"/>
      <c r="K69" s="311"/>
      <c r="L69" s="311"/>
      <c r="M69" s="311"/>
      <c r="N69" s="311"/>
      <c r="O69" s="311"/>
      <c r="P69" s="311"/>
      <c r="Q69" s="311"/>
      <c r="R69" s="311"/>
      <c r="S69" s="314"/>
      <c r="T69" s="315"/>
      <c r="U69" s="316"/>
      <c r="V69" s="316"/>
    </row>
    <row r="70" spans="1:22">
      <c r="A70" s="322"/>
      <c r="B70" s="217"/>
      <c r="C70" s="217"/>
      <c r="D70" s="332"/>
      <c r="E70" s="332"/>
      <c r="F70" s="332"/>
      <c r="G70" s="325"/>
      <c r="H70" s="325"/>
      <c r="I70" s="218"/>
      <c r="J70" s="326"/>
      <c r="K70" s="326"/>
      <c r="L70" s="326"/>
      <c r="M70" s="326"/>
      <c r="N70" s="326"/>
      <c r="O70" s="326"/>
      <c r="P70" s="326"/>
      <c r="Q70" s="326"/>
      <c r="R70" s="326"/>
      <c r="S70" s="219"/>
      <c r="T70" s="315"/>
      <c r="U70" s="316"/>
      <c r="V70" s="316"/>
    </row>
    <row r="71" spans="1:22">
      <c r="A71" s="305">
        <v>37</v>
      </c>
      <c r="B71" s="327"/>
      <c r="C71" s="327"/>
      <c r="D71" s="328"/>
      <c r="E71" s="328"/>
      <c r="F71" s="328"/>
      <c r="G71" s="308"/>
      <c r="H71" s="308"/>
      <c r="I71" s="329"/>
      <c r="J71" s="311"/>
      <c r="K71" s="311"/>
      <c r="L71" s="311"/>
      <c r="M71" s="311"/>
      <c r="N71" s="311"/>
      <c r="O71" s="311"/>
      <c r="P71" s="311"/>
      <c r="Q71" s="311"/>
      <c r="R71" s="311"/>
      <c r="S71" s="314"/>
      <c r="T71" s="315"/>
      <c r="U71" s="316"/>
      <c r="V71" s="316"/>
    </row>
    <row r="72" spans="1:22">
      <c r="A72" s="305"/>
      <c r="B72" s="330"/>
      <c r="C72" s="330"/>
      <c r="D72" s="331"/>
      <c r="E72" s="331"/>
      <c r="F72" s="331"/>
      <c r="G72" s="319"/>
      <c r="H72" s="319"/>
      <c r="I72" s="329"/>
      <c r="J72" s="311"/>
      <c r="K72" s="311"/>
      <c r="L72" s="311"/>
      <c r="M72" s="311"/>
      <c r="N72" s="311"/>
      <c r="O72" s="311"/>
      <c r="P72" s="311"/>
      <c r="Q72" s="311"/>
      <c r="R72" s="311"/>
      <c r="S72" s="314"/>
      <c r="T72" s="315"/>
      <c r="U72" s="316"/>
      <c r="V72" s="316"/>
    </row>
    <row r="73" spans="1:22">
      <c r="A73" s="322"/>
      <c r="B73" s="217"/>
      <c r="C73" s="217"/>
      <c r="D73" s="332"/>
      <c r="E73" s="332"/>
      <c r="F73" s="332"/>
      <c r="G73" s="325"/>
      <c r="H73" s="325"/>
      <c r="I73" s="218"/>
      <c r="J73" s="326"/>
      <c r="K73" s="326"/>
      <c r="L73" s="326"/>
      <c r="M73" s="326"/>
      <c r="N73" s="326"/>
      <c r="O73" s="326"/>
      <c r="P73" s="326"/>
      <c r="Q73" s="326"/>
      <c r="R73" s="326"/>
      <c r="S73" s="219"/>
      <c r="T73" s="315"/>
      <c r="U73" s="316"/>
      <c r="V73" s="316"/>
    </row>
    <row r="74" spans="1:22">
      <c r="A74" s="305">
        <v>38</v>
      </c>
      <c r="B74" s="327"/>
      <c r="C74" s="327"/>
      <c r="D74" s="328"/>
      <c r="E74" s="328"/>
      <c r="F74" s="328"/>
      <c r="G74" s="308"/>
      <c r="H74" s="308"/>
      <c r="I74" s="329"/>
      <c r="J74" s="311"/>
      <c r="K74" s="311"/>
      <c r="L74" s="311"/>
      <c r="M74" s="311"/>
      <c r="N74" s="311"/>
      <c r="O74" s="311"/>
      <c r="P74" s="311"/>
      <c r="Q74" s="311"/>
      <c r="R74" s="311"/>
      <c r="S74" s="314"/>
      <c r="T74" s="315"/>
      <c r="U74" s="316"/>
      <c r="V74" s="316"/>
    </row>
    <row r="75" spans="1:22">
      <c r="A75" s="305"/>
      <c r="B75" s="330"/>
      <c r="C75" s="330"/>
      <c r="D75" s="331"/>
      <c r="E75" s="331"/>
      <c r="F75" s="331"/>
      <c r="G75" s="319"/>
      <c r="H75" s="319"/>
      <c r="I75" s="329"/>
      <c r="J75" s="311"/>
      <c r="K75" s="311"/>
      <c r="L75" s="311"/>
      <c r="M75" s="311"/>
      <c r="N75" s="311"/>
      <c r="O75" s="311"/>
      <c r="P75" s="311"/>
      <c r="Q75" s="311"/>
      <c r="R75" s="311"/>
      <c r="S75" s="314"/>
      <c r="T75" s="315"/>
      <c r="U75" s="316"/>
      <c r="V75" s="316"/>
    </row>
    <row r="76" spans="1:22">
      <c r="A76" s="322"/>
      <c r="B76" s="217"/>
      <c r="C76" s="217"/>
      <c r="D76" s="332"/>
      <c r="E76" s="332"/>
      <c r="F76" s="332"/>
      <c r="G76" s="325"/>
      <c r="H76" s="325"/>
      <c r="I76" s="218"/>
      <c r="J76" s="326"/>
      <c r="K76" s="326"/>
      <c r="L76" s="326"/>
      <c r="M76" s="326"/>
      <c r="N76" s="326"/>
      <c r="O76" s="326"/>
      <c r="P76" s="326"/>
      <c r="Q76" s="326"/>
      <c r="R76" s="326"/>
      <c r="S76" s="219"/>
      <c r="T76" s="315"/>
      <c r="U76" s="316"/>
      <c r="V76" s="316"/>
    </row>
    <row r="77" spans="1:22">
      <c r="A77" s="305">
        <v>39</v>
      </c>
      <c r="B77" s="327"/>
      <c r="C77" s="327"/>
      <c r="D77" s="328"/>
      <c r="E77" s="328"/>
      <c r="F77" s="328"/>
      <c r="G77" s="308"/>
      <c r="H77" s="308"/>
      <c r="I77" s="329"/>
      <c r="J77" s="311"/>
      <c r="K77" s="311"/>
      <c r="L77" s="311"/>
      <c r="M77" s="311"/>
      <c r="N77" s="311"/>
      <c r="O77" s="311"/>
      <c r="P77" s="311"/>
      <c r="Q77" s="311"/>
      <c r="R77" s="311"/>
      <c r="S77" s="314"/>
      <c r="T77" s="315"/>
      <c r="U77" s="316"/>
      <c r="V77" s="316"/>
    </row>
    <row r="78" spans="1:22">
      <c r="A78" s="305"/>
      <c r="B78" s="330"/>
      <c r="C78" s="330"/>
      <c r="D78" s="331"/>
      <c r="E78" s="331"/>
      <c r="F78" s="331"/>
      <c r="G78" s="319"/>
      <c r="H78" s="319"/>
      <c r="I78" s="329"/>
      <c r="J78" s="311"/>
      <c r="K78" s="311"/>
      <c r="L78" s="311"/>
      <c r="M78" s="311"/>
      <c r="N78" s="311"/>
      <c r="O78" s="311"/>
      <c r="P78" s="311"/>
      <c r="Q78" s="311"/>
      <c r="R78" s="311"/>
      <c r="S78" s="314"/>
      <c r="T78" s="315"/>
      <c r="U78" s="316"/>
      <c r="V78" s="316"/>
    </row>
    <row r="79" spans="1:22">
      <c r="A79" s="322"/>
      <c r="B79" s="217"/>
      <c r="C79" s="217"/>
      <c r="D79" s="332"/>
      <c r="E79" s="332"/>
      <c r="F79" s="332"/>
      <c r="G79" s="325"/>
      <c r="H79" s="325"/>
      <c r="I79" s="218"/>
      <c r="J79" s="326"/>
      <c r="K79" s="326"/>
      <c r="L79" s="326"/>
      <c r="M79" s="326"/>
      <c r="N79" s="326"/>
      <c r="O79" s="326"/>
      <c r="P79" s="326"/>
      <c r="Q79" s="326"/>
      <c r="R79" s="326"/>
      <c r="S79" s="219"/>
      <c r="T79" s="315"/>
      <c r="U79" s="316"/>
      <c r="V79" s="316"/>
    </row>
    <row r="80" spans="1:22">
      <c r="A80" s="305">
        <v>40</v>
      </c>
      <c r="B80" s="327"/>
      <c r="C80" s="327"/>
      <c r="D80" s="328"/>
      <c r="E80" s="328"/>
      <c r="F80" s="328"/>
      <c r="G80" s="308"/>
      <c r="H80" s="308"/>
      <c r="I80" s="329"/>
      <c r="J80" s="311"/>
      <c r="K80" s="311"/>
      <c r="L80" s="311"/>
      <c r="M80" s="311"/>
      <c r="N80" s="311"/>
      <c r="O80" s="311"/>
      <c r="P80" s="311"/>
      <c r="Q80" s="311"/>
      <c r="R80" s="311"/>
      <c r="S80" s="314"/>
      <c r="T80" s="315"/>
      <c r="U80" s="316"/>
      <c r="V80" s="316"/>
    </row>
    <row r="81" spans="1:22">
      <c r="A81" s="305"/>
      <c r="B81" s="330"/>
      <c r="C81" s="330"/>
      <c r="D81" s="331"/>
      <c r="E81" s="331"/>
      <c r="F81" s="331"/>
      <c r="G81" s="319"/>
      <c r="H81" s="319"/>
      <c r="I81" s="329"/>
      <c r="J81" s="311"/>
      <c r="K81" s="311"/>
      <c r="L81" s="311"/>
      <c r="M81" s="311"/>
      <c r="N81" s="311"/>
      <c r="O81" s="311"/>
      <c r="P81" s="311"/>
      <c r="Q81" s="311"/>
      <c r="R81" s="311"/>
      <c r="S81" s="314"/>
      <c r="T81" s="315"/>
      <c r="U81" s="316"/>
      <c r="V81" s="316"/>
    </row>
    <row r="82" spans="1:22">
      <c r="A82" s="322"/>
      <c r="B82" s="217"/>
      <c r="C82" s="217"/>
      <c r="D82" s="332"/>
      <c r="E82" s="332"/>
      <c r="F82" s="332"/>
      <c r="G82" s="325"/>
      <c r="H82" s="325"/>
      <c r="I82" s="218"/>
      <c r="J82" s="326"/>
      <c r="K82" s="326"/>
      <c r="L82" s="326"/>
      <c r="M82" s="326"/>
      <c r="N82" s="326"/>
      <c r="O82" s="326"/>
      <c r="P82" s="326"/>
      <c r="Q82" s="326"/>
      <c r="R82" s="326"/>
      <c r="S82" s="219"/>
      <c r="T82" s="315"/>
      <c r="U82" s="316"/>
      <c r="V82" s="316"/>
    </row>
    <row r="83" spans="1:22">
      <c r="A83" s="305">
        <v>41</v>
      </c>
      <c r="B83" s="327"/>
      <c r="C83" s="327"/>
      <c r="D83" s="328"/>
      <c r="E83" s="328"/>
      <c r="F83" s="328"/>
      <c r="G83" s="308"/>
      <c r="H83" s="308"/>
      <c r="I83" s="329"/>
      <c r="J83" s="311"/>
      <c r="K83" s="311"/>
      <c r="L83" s="311"/>
      <c r="M83" s="311"/>
      <c r="N83" s="311"/>
      <c r="O83" s="311"/>
      <c r="P83" s="311"/>
      <c r="Q83" s="311"/>
      <c r="R83" s="311"/>
      <c r="S83" s="314"/>
      <c r="T83" s="315"/>
      <c r="U83" s="316"/>
      <c r="V83" s="316"/>
    </row>
    <row r="84" spans="1:22">
      <c r="A84" s="305"/>
      <c r="B84" s="330"/>
      <c r="C84" s="330"/>
      <c r="D84" s="331"/>
      <c r="E84" s="331"/>
      <c r="F84" s="331"/>
      <c r="G84" s="319"/>
      <c r="H84" s="319"/>
      <c r="I84" s="329"/>
      <c r="J84" s="311"/>
      <c r="K84" s="311"/>
      <c r="L84" s="311"/>
      <c r="M84" s="311"/>
      <c r="N84" s="311"/>
      <c r="O84" s="311"/>
      <c r="P84" s="311"/>
      <c r="Q84" s="311"/>
      <c r="R84" s="311"/>
      <c r="S84" s="314"/>
      <c r="T84" s="315"/>
      <c r="U84" s="316"/>
      <c r="V84" s="316"/>
    </row>
    <row r="85" spans="1:22">
      <c r="A85" s="322"/>
      <c r="B85" s="217"/>
      <c r="C85" s="217"/>
      <c r="D85" s="332"/>
      <c r="E85" s="332"/>
      <c r="F85" s="332"/>
      <c r="G85" s="325"/>
      <c r="H85" s="325"/>
      <c r="I85" s="218"/>
      <c r="J85" s="326"/>
      <c r="K85" s="326"/>
      <c r="L85" s="326"/>
      <c r="M85" s="326"/>
      <c r="N85" s="326"/>
      <c r="O85" s="326"/>
      <c r="P85" s="326"/>
      <c r="Q85" s="326"/>
      <c r="R85" s="326"/>
      <c r="S85" s="219"/>
      <c r="T85" s="315"/>
      <c r="U85" s="316"/>
      <c r="V85" s="316"/>
    </row>
    <row r="86" spans="1:22">
      <c r="A86" s="305">
        <v>42</v>
      </c>
      <c r="B86" s="327"/>
      <c r="C86" s="327"/>
      <c r="D86" s="328"/>
      <c r="E86" s="328"/>
      <c r="F86" s="328"/>
      <c r="G86" s="308"/>
      <c r="H86" s="308"/>
      <c r="I86" s="329"/>
      <c r="J86" s="311"/>
      <c r="K86" s="311"/>
      <c r="L86" s="311"/>
      <c r="M86" s="311"/>
      <c r="N86" s="311"/>
      <c r="O86" s="311"/>
      <c r="P86" s="311"/>
      <c r="Q86" s="311"/>
      <c r="R86" s="311"/>
      <c r="S86" s="314"/>
      <c r="T86" s="315"/>
      <c r="U86" s="316"/>
      <c r="V86" s="316"/>
    </row>
    <row r="87" spans="1:22">
      <c r="A87" s="305"/>
      <c r="B87" s="330"/>
      <c r="C87" s="330"/>
      <c r="D87" s="331"/>
      <c r="E87" s="331"/>
      <c r="F87" s="331"/>
      <c r="G87" s="319"/>
      <c r="H87" s="319"/>
      <c r="I87" s="329"/>
      <c r="J87" s="311"/>
      <c r="K87" s="311"/>
      <c r="L87" s="311"/>
      <c r="M87" s="311"/>
      <c r="N87" s="311"/>
      <c r="O87" s="311"/>
      <c r="P87" s="311"/>
      <c r="Q87" s="311"/>
      <c r="R87" s="311"/>
      <c r="S87" s="314"/>
      <c r="T87" s="315"/>
      <c r="U87" s="316"/>
      <c r="V87" s="316"/>
    </row>
    <row r="88" spans="1:22">
      <c r="A88" s="322"/>
      <c r="B88" s="217"/>
      <c r="C88" s="217"/>
      <c r="D88" s="332"/>
      <c r="E88" s="332"/>
      <c r="F88" s="332"/>
      <c r="G88" s="325"/>
      <c r="H88" s="325"/>
      <c r="I88" s="218"/>
      <c r="J88" s="326"/>
      <c r="K88" s="326"/>
      <c r="L88" s="326"/>
      <c r="M88" s="326"/>
      <c r="N88" s="326"/>
      <c r="O88" s="326"/>
      <c r="P88" s="326"/>
      <c r="Q88" s="326"/>
      <c r="R88" s="326"/>
      <c r="S88" s="219"/>
      <c r="T88" s="315"/>
      <c r="U88" s="316"/>
      <c r="V88" s="316"/>
    </row>
    <row r="89" spans="1:22">
      <c r="A89" s="305">
        <v>43</v>
      </c>
      <c r="B89" s="327"/>
      <c r="C89" s="327"/>
      <c r="D89" s="328"/>
      <c r="E89" s="328"/>
      <c r="F89" s="328"/>
      <c r="G89" s="308"/>
      <c r="H89" s="308"/>
      <c r="I89" s="329"/>
      <c r="J89" s="311"/>
      <c r="K89" s="311"/>
      <c r="L89" s="311"/>
      <c r="M89" s="311"/>
      <c r="N89" s="311"/>
      <c r="O89" s="311"/>
      <c r="P89" s="311"/>
      <c r="Q89" s="311"/>
      <c r="R89" s="311"/>
      <c r="S89" s="314"/>
      <c r="T89" s="315"/>
      <c r="U89" s="316"/>
      <c r="V89" s="316"/>
    </row>
    <row r="90" spans="1:22">
      <c r="A90" s="305"/>
      <c r="B90" s="330"/>
      <c r="C90" s="330"/>
      <c r="D90" s="331"/>
      <c r="E90" s="331"/>
      <c r="F90" s="331"/>
      <c r="G90" s="319"/>
      <c r="H90" s="319"/>
      <c r="I90" s="329"/>
      <c r="J90" s="311"/>
      <c r="K90" s="311"/>
      <c r="L90" s="311"/>
      <c r="M90" s="311"/>
      <c r="N90" s="311"/>
      <c r="O90" s="311"/>
      <c r="P90" s="311"/>
      <c r="Q90" s="311"/>
      <c r="R90" s="311"/>
      <c r="S90" s="314"/>
      <c r="T90" s="315"/>
      <c r="U90" s="316"/>
      <c r="V90" s="316"/>
    </row>
    <row r="91" spans="1:22">
      <c r="A91" s="322"/>
      <c r="B91" s="217"/>
      <c r="C91" s="217"/>
      <c r="D91" s="332"/>
      <c r="E91" s="332"/>
      <c r="F91" s="332"/>
      <c r="G91" s="325"/>
      <c r="H91" s="325"/>
      <c r="I91" s="218"/>
      <c r="J91" s="326"/>
      <c r="K91" s="326"/>
      <c r="L91" s="326"/>
      <c r="M91" s="326"/>
      <c r="N91" s="326"/>
      <c r="O91" s="326"/>
      <c r="P91" s="326"/>
      <c r="Q91" s="326"/>
      <c r="R91" s="326"/>
      <c r="S91" s="219"/>
      <c r="T91" s="315"/>
      <c r="U91" s="316"/>
      <c r="V91" s="316"/>
    </row>
    <row r="92" spans="1:22">
      <c r="A92" s="305">
        <v>44</v>
      </c>
      <c r="B92" s="327"/>
      <c r="C92" s="327"/>
      <c r="D92" s="328"/>
      <c r="E92" s="328"/>
      <c r="F92" s="328"/>
      <c r="G92" s="308"/>
      <c r="H92" s="308"/>
      <c r="I92" s="329"/>
      <c r="J92" s="311"/>
      <c r="K92" s="311"/>
      <c r="L92" s="311"/>
      <c r="M92" s="311"/>
      <c r="N92" s="311"/>
      <c r="O92" s="311"/>
      <c r="P92" s="311"/>
      <c r="Q92" s="311"/>
      <c r="R92" s="311"/>
      <c r="S92" s="314"/>
      <c r="T92" s="315"/>
      <c r="U92" s="316"/>
      <c r="V92" s="316"/>
    </row>
    <row r="93" spans="1:22">
      <c r="A93" s="305"/>
      <c r="B93" s="330"/>
      <c r="C93" s="330"/>
      <c r="D93" s="331"/>
      <c r="E93" s="331"/>
      <c r="F93" s="331"/>
      <c r="G93" s="319"/>
      <c r="H93" s="319"/>
      <c r="I93" s="329"/>
      <c r="J93" s="311"/>
      <c r="K93" s="311"/>
      <c r="L93" s="311"/>
      <c r="M93" s="311"/>
      <c r="N93" s="311"/>
      <c r="O93" s="311"/>
      <c r="P93" s="311"/>
      <c r="Q93" s="311"/>
      <c r="R93" s="311"/>
      <c r="S93" s="314"/>
      <c r="T93" s="315"/>
      <c r="U93" s="316"/>
      <c r="V93" s="316"/>
    </row>
    <row r="94" spans="1:22">
      <c r="A94" s="322"/>
      <c r="B94" s="217"/>
      <c r="C94" s="217"/>
      <c r="D94" s="332"/>
      <c r="E94" s="332"/>
      <c r="F94" s="332"/>
      <c r="G94" s="325"/>
      <c r="H94" s="325"/>
      <c r="I94" s="218"/>
      <c r="J94" s="326"/>
      <c r="K94" s="326"/>
      <c r="L94" s="326"/>
      <c r="M94" s="326"/>
      <c r="N94" s="326"/>
      <c r="O94" s="326"/>
      <c r="P94" s="326"/>
      <c r="Q94" s="326"/>
      <c r="R94" s="326"/>
      <c r="S94" s="219"/>
      <c r="T94" s="315"/>
      <c r="U94" s="316"/>
      <c r="V94" s="316"/>
    </row>
    <row r="95" spans="1:22">
      <c r="A95" s="305">
        <v>45</v>
      </c>
      <c r="B95" s="327"/>
      <c r="C95" s="327"/>
      <c r="D95" s="328"/>
      <c r="E95" s="328"/>
      <c r="F95" s="328"/>
      <c r="G95" s="308"/>
      <c r="H95" s="308"/>
      <c r="I95" s="329"/>
      <c r="J95" s="311"/>
      <c r="K95" s="311"/>
      <c r="L95" s="311"/>
      <c r="M95" s="311"/>
      <c r="N95" s="311"/>
      <c r="O95" s="311"/>
      <c r="P95" s="311"/>
      <c r="Q95" s="311"/>
      <c r="R95" s="311"/>
      <c r="S95" s="314"/>
      <c r="T95" s="315"/>
      <c r="U95" s="316"/>
      <c r="V95" s="316"/>
    </row>
    <row r="96" spans="1:22">
      <c r="A96" s="305"/>
      <c r="B96" s="330"/>
      <c r="C96" s="330"/>
      <c r="D96" s="331"/>
      <c r="E96" s="331"/>
      <c r="F96" s="331"/>
      <c r="G96" s="319"/>
      <c r="H96" s="319"/>
      <c r="I96" s="329"/>
      <c r="J96" s="311"/>
      <c r="K96" s="311"/>
      <c r="L96" s="311"/>
      <c r="M96" s="311"/>
      <c r="N96" s="311"/>
      <c r="O96" s="311"/>
      <c r="P96" s="311"/>
      <c r="Q96" s="311"/>
      <c r="R96" s="311"/>
      <c r="S96" s="314"/>
      <c r="T96" s="315"/>
      <c r="U96" s="316"/>
      <c r="V96" s="316"/>
    </row>
    <row r="97" spans="1:22">
      <c r="A97" s="322"/>
      <c r="B97" s="217"/>
      <c r="C97" s="217"/>
      <c r="D97" s="332"/>
      <c r="E97" s="332"/>
      <c r="F97" s="332"/>
      <c r="G97" s="325"/>
      <c r="H97" s="325"/>
      <c r="I97" s="218"/>
      <c r="J97" s="326"/>
      <c r="K97" s="326"/>
      <c r="L97" s="326"/>
      <c r="M97" s="326"/>
      <c r="N97" s="326"/>
      <c r="O97" s="326"/>
      <c r="P97" s="326"/>
      <c r="Q97" s="326"/>
      <c r="R97" s="326"/>
      <c r="S97" s="219"/>
      <c r="T97" s="315"/>
      <c r="U97" s="316"/>
      <c r="V97" s="316"/>
    </row>
    <row r="98" spans="1:22">
      <c r="A98" s="305">
        <v>46</v>
      </c>
      <c r="B98" s="327"/>
      <c r="C98" s="327"/>
      <c r="D98" s="328"/>
      <c r="E98" s="328"/>
      <c r="F98" s="328"/>
      <c r="G98" s="308"/>
      <c r="H98" s="308"/>
      <c r="I98" s="329"/>
      <c r="J98" s="311"/>
      <c r="K98" s="311"/>
      <c r="L98" s="311"/>
      <c r="M98" s="311"/>
      <c r="N98" s="311"/>
      <c r="O98" s="311"/>
      <c r="P98" s="311"/>
      <c r="Q98" s="311"/>
      <c r="R98" s="311"/>
      <c r="S98" s="314"/>
      <c r="T98" s="315"/>
      <c r="U98" s="316"/>
      <c r="V98" s="316"/>
    </row>
    <row r="99" spans="1:22">
      <c r="A99" s="305"/>
      <c r="B99" s="330"/>
      <c r="C99" s="330"/>
      <c r="D99" s="331"/>
      <c r="E99" s="331"/>
      <c r="F99" s="331"/>
      <c r="G99" s="319"/>
      <c r="H99" s="319"/>
      <c r="I99" s="329"/>
      <c r="J99" s="311"/>
      <c r="K99" s="311"/>
      <c r="L99" s="311"/>
      <c r="M99" s="311"/>
      <c r="N99" s="311"/>
      <c r="O99" s="311"/>
      <c r="P99" s="311"/>
      <c r="Q99" s="311"/>
      <c r="R99" s="311"/>
      <c r="S99" s="314"/>
      <c r="T99" s="315"/>
      <c r="U99" s="316"/>
      <c r="V99" s="316"/>
    </row>
    <row r="100" spans="1:22">
      <c r="A100" s="322"/>
      <c r="B100" s="217"/>
      <c r="C100" s="217"/>
      <c r="D100" s="332"/>
      <c r="E100" s="332"/>
      <c r="F100" s="332"/>
      <c r="G100" s="325"/>
      <c r="H100" s="325"/>
      <c r="I100" s="218"/>
      <c r="J100" s="326"/>
      <c r="K100" s="326"/>
      <c r="L100" s="326"/>
      <c r="M100" s="326"/>
      <c r="N100" s="326"/>
      <c r="O100" s="326"/>
      <c r="P100" s="326"/>
      <c r="Q100" s="326"/>
      <c r="R100" s="326"/>
      <c r="S100" s="219"/>
      <c r="T100" s="315"/>
      <c r="U100" s="316"/>
      <c r="V100" s="316"/>
    </row>
    <row r="101" spans="1:22">
      <c r="A101" s="305">
        <v>47</v>
      </c>
      <c r="B101" s="327"/>
      <c r="C101" s="327"/>
      <c r="D101" s="328"/>
      <c r="E101" s="328"/>
      <c r="F101" s="328"/>
      <c r="G101" s="308"/>
      <c r="H101" s="308"/>
      <c r="I101" s="329"/>
      <c r="J101" s="311"/>
      <c r="K101" s="311"/>
      <c r="L101" s="311"/>
      <c r="M101" s="311"/>
      <c r="N101" s="311"/>
      <c r="O101" s="311"/>
      <c r="P101" s="311"/>
      <c r="Q101" s="311"/>
      <c r="R101" s="311"/>
      <c r="S101" s="314"/>
      <c r="T101" s="315"/>
      <c r="U101" s="316"/>
      <c r="V101" s="316"/>
    </row>
    <row r="102" spans="1:22">
      <c r="A102" s="305"/>
      <c r="B102" s="330"/>
      <c r="C102" s="330"/>
      <c r="D102" s="331"/>
      <c r="E102" s="331"/>
      <c r="F102" s="331"/>
      <c r="G102" s="319"/>
      <c r="H102" s="319"/>
      <c r="I102" s="329"/>
      <c r="J102" s="311"/>
      <c r="K102" s="311"/>
      <c r="L102" s="311"/>
      <c r="M102" s="311"/>
      <c r="N102" s="311"/>
      <c r="O102" s="311"/>
      <c r="P102" s="311"/>
      <c r="Q102" s="311"/>
      <c r="R102" s="311"/>
      <c r="S102" s="314"/>
      <c r="T102" s="315"/>
      <c r="U102" s="316"/>
      <c r="V102" s="316"/>
    </row>
    <row r="103" spans="1:22">
      <c r="A103" s="322"/>
      <c r="B103" s="217"/>
      <c r="C103" s="217"/>
      <c r="D103" s="332"/>
      <c r="E103" s="332"/>
      <c r="F103" s="332"/>
      <c r="G103" s="325"/>
      <c r="H103" s="325"/>
      <c r="I103" s="218"/>
      <c r="J103" s="326"/>
      <c r="K103" s="326"/>
      <c r="L103" s="326"/>
      <c r="M103" s="326"/>
      <c r="N103" s="326"/>
      <c r="O103" s="326"/>
      <c r="P103" s="326"/>
      <c r="Q103" s="326"/>
      <c r="R103" s="326"/>
      <c r="S103" s="219"/>
      <c r="T103" s="315"/>
      <c r="U103" s="316"/>
      <c r="V103" s="316"/>
    </row>
    <row r="104" spans="1:22">
      <c r="A104" s="305">
        <v>48</v>
      </c>
      <c r="B104" s="327"/>
      <c r="C104" s="327"/>
      <c r="D104" s="328"/>
      <c r="E104" s="328"/>
      <c r="F104" s="328"/>
      <c r="G104" s="308"/>
      <c r="H104" s="308"/>
      <c r="I104" s="329"/>
      <c r="J104" s="311"/>
      <c r="K104" s="311"/>
      <c r="L104" s="311"/>
      <c r="M104" s="311"/>
      <c r="N104" s="311"/>
      <c r="O104" s="311"/>
      <c r="P104" s="311"/>
      <c r="Q104" s="311"/>
      <c r="R104" s="311"/>
      <c r="S104" s="314"/>
      <c r="T104" s="315"/>
      <c r="U104" s="316"/>
      <c r="V104" s="316"/>
    </row>
    <row r="105" spans="1:22">
      <c r="A105" s="305"/>
      <c r="B105" s="330"/>
      <c r="C105" s="330"/>
      <c r="D105" s="331"/>
      <c r="E105" s="331"/>
      <c r="F105" s="331"/>
      <c r="G105" s="319"/>
      <c r="H105" s="319"/>
      <c r="I105" s="329"/>
      <c r="J105" s="311"/>
      <c r="K105" s="311"/>
      <c r="L105" s="311"/>
      <c r="M105" s="311"/>
      <c r="N105" s="311"/>
      <c r="O105" s="311"/>
      <c r="P105" s="311"/>
      <c r="Q105" s="311"/>
      <c r="R105" s="311"/>
      <c r="S105" s="314"/>
      <c r="T105" s="315"/>
      <c r="U105" s="316"/>
      <c r="V105" s="316"/>
    </row>
    <row r="106" spans="1:22">
      <c r="A106" s="322"/>
      <c r="B106" s="217"/>
      <c r="C106" s="217"/>
      <c r="D106" s="332"/>
      <c r="E106" s="332"/>
      <c r="F106" s="332"/>
      <c r="G106" s="325"/>
      <c r="H106" s="325"/>
      <c r="I106" s="218"/>
      <c r="J106" s="326"/>
      <c r="K106" s="326"/>
      <c r="L106" s="326"/>
      <c r="M106" s="326"/>
      <c r="N106" s="326"/>
      <c r="O106" s="326"/>
      <c r="P106" s="326"/>
      <c r="Q106" s="326"/>
      <c r="R106" s="326"/>
      <c r="S106" s="219"/>
      <c r="T106" s="315"/>
      <c r="U106" s="316"/>
      <c r="V106" s="316"/>
    </row>
    <row r="107" spans="1:22">
      <c r="A107" s="305">
        <v>49</v>
      </c>
      <c r="B107" s="327"/>
      <c r="C107" s="327"/>
      <c r="D107" s="328"/>
      <c r="E107" s="328"/>
      <c r="F107" s="328"/>
      <c r="G107" s="308"/>
      <c r="H107" s="308"/>
      <c r="I107" s="329"/>
      <c r="J107" s="311"/>
      <c r="K107" s="311"/>
      <c r="L107" s="311"/>
      <c r="M107" s="311"/>
      <c r="N107" s="311"/>
      <c r="O107" s="311"/>
      <c r="P107" s="311"/>
      <c r="Q107" s="311"/>
      <c r="R107" s="311"/>
      <c r="S107" s="314"/>
      <c r="T107" s="315"/>
      <c r="U107" s="316"/>
      <c r="V107" s="316"/>
    </row>
    <row r="108" spans="1:22">
      <c r="A108" s="305"/>
      <c r="B108" s="330"/>
      <c r="C108" s="330"/>
      <c r="D108" s="331"/>
      <c r="E108" s="331"/>
      <c r="F108" s="331"/>
      <c r="G108" s="319"/>
      <c r="H108" s="319"/>
      <c r="I108" s="329"/>
      <c r="J108" s="311"/>
      <c r="K108" s="311"/>
      <c r="L108" s="311"/>
      <c r="M108" s="311"/>
      <c r="N108" s="311"/>
      <c r="O108" s="311"/>
      <c r="P108" s="311"/>
      <c r="Q108" s="311"/>
      <c r="R108" s="311"/>
      <c r="S108" s="314"/>
      <c r="T108" s="315"/>
      <c r="U108" s="316"/>
      <c r="V108" s="316"/>
    </row>
    <row r="109" spans="1:22">
      <c r="A109" s="322"/>
      <c r="B109" s="217"/>
      <c r="C109" s="217"/>
      <c r="D109" s="332"/>
      <c r="E109" s="332"/>
      <c r="F109" s="332"/>
      <c r="G109" s="325"/>
      <c r="H109" s="325"/>
      <c r="I109" s="218"/>
      <c r="J109" s="326"/>
      <c r="K109" s="326"/>
      <c r="L109" s="326"/>
      <c r="M109" s="326"/>
      <c r="N109" s="326"/>
      <c r="O109" s="326"/>
      <c r="P109" s="326"/>
      <c r="Q109" s="326"/>
      <c r="R109" s="326"/>
      <c r="S109" s="219"/>
      <c r="T109" s="315"/>
      <c r="U109" s="316"/>
      <c r="V109" s="316"/>
    </row>
    <row r="110" spans="1:22">
      <c r="A110" s="305">
        <v>50</v>
      </c>
      <c r="B110" s="327"/>
      <c r="C110" s="327"/>
      <c r="D110" s="328"/>
      <c r="E110" s="328"/>
      <c r="F110" s="328"/>
      <c r="G110" s="308"/>
      <c r="H110" s="308"/>
      <c r="I110" s="329"/>
      <c r="J110" s="311"/>
      <c r="K110" s="311"/>
      <c r="L110" s="311"/>
      <c r="M110" s="311"/>
      <c r="N110" s="311"/>
      <c r="O110" s="311"/>
      <c r="P110" s="311"/>
      <c r="Q110" s="311"/>
      <c r="R110" s="311"/>
      <c r="S110" s="314"/>
      <c r="T110" s="315"/>
      <c r="U110" s="316"/>
      <c r="V110" s="316"/>
    </row>
    <row r="111" spans="1:22">
      <c r="A111" s="305"/>
      <c r="B111" s="330"/>
      <c r="C111" s="330"/>
      <c r="D111" s="331"/>
      <c r="E111" s="331"/>
      <c r="F111" s="331"/>
      <c r="G111" s="319"/>
      <c r="H111" s="319"/>
      <c r="I111" s="329"/>
      <c r="J111" s="311"/>
      <c r="K111" s="311"/>
      <c r="L111" s="311"/>
      <c r="M111" s="311"/>
      <c r="N111" s="311"/>
      <c r="O111" s="311"/>
      <c r="P111" s="311"/>
      <c r="Q111" s="311"/>
      <c r="R111" s="311"/>
      <c r="S111" s="314"/>
      <c r="T111" s="315"/>
      <c r="U111" s="316"/>
      <c r="V111" s="316"/>
    </row>
    <row r="112" spans="1:22">
      <c r="A112" s="322"/>
      <c r="B112" s="217"/>
      <c r="C112" s="217"/>
      <c r="D112" s="332"/>
      <c r="E112" s="332"/>
      <c r="F112" s="332"/>
      <c r="G112" s="325"/>
      <c r="H112" s="325"/>
      <c r="I112" s="218"/>
      <c r="J112" s="326"/>
      <c r="K112" s="326"/>
      <c r="L112" s="326"/>
      <c r="M112" s="326"/>
      <c r="N112" s="326"/>
      <c r="O112" s="326"/>
      <c r="P112" s="326"/>
      <c r="Q112" s="326"/>
      <c r="R112" s="326"/>
      <c r="S112" s="219"/>
      <c r="T112" s="315"/>
      <c r="U112" s="316"/>
      <c r="V112" s="316"/>
    </row>
    <row r="125" spans="77:77">
      <c r="BY125" s="333" t="s">
        <v>150</v>
      </c>
    </row>
  </sheetData>
  <mergeCells count="706">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D21:F22"/>
    <mergeCell ref="D96:F97"/>
    <mergeCell ref="D99:F100"/>
    <mergeCell ref="D102:F103"/>
    <mergeCell ref="D105:F106"/>
    <mergeCell ref="D108:F109"/>
    <mergeCell ref="D111:F112"/>
    <mergeCell ref="D78:F79"/>
    <mergeCell ref="D81:F82"/>
    <mergeCell ref="D84:F85"/>
    <mergeCell ref="D87:F88"/>
    <mergeCell ref="D90:F91"/>
    <mergeCell ref="D93:F94"/>
    <mergeCell ref="D60:F61"/>
    <mergeCell ref="D63:F64"/>
    <mergeCell ref="D66:F67"/>
    <mergeCell ref="D69:F70"/>
    <mergeCell ref="D72:F73"/>
    <mergeCell ref="D75:F76"/>
    <mergeCell ref="D42:F43"/>
    <mergeCell ref="D45:F46"/>
    <mergeCell ref="D48:F49"/>
    <mergeCell ref="D51:F52"/>
    <mergeCell ref="D54:F55"/>
    <mergeCell ref="D57:F58"/>
    <mergeCell ref="D36:F37"/>
    <mergeCell ref="D39:F40"/>
    <mergeCell ref="D30:F31"/>
    <mergeCell ref="D24:F25"/>
    <mergeCell ref="D33:F34"/>
    <mergeCell ref="D27:F28"/>
  </mergeCells>
  <hyperlinks>
    <hyperlink ref="U16" r:id="rId2"/>
    <hyperlink ref="U15" r:id="rId2"/>
    <hyperlink ref="W15" r:id="rId2" display="https://e-service.shciq.gov.cn/shesp/" tooltip="https://e-service.shciq.gov.cn/shesp/"/>
    <hyperlink ref="W16" r:id="rId3" display="http://www.hscode.net/IntegrateQueries/QueryYS/"/>
  </hyperlinks>
  <pageMargins left="0.16" right="0.04" top="0.16" bottom="0.08" header="0.08" footer="0.12"/>
  <pageSetup paperSize="9" scale="13" fitToHeight="0" orientation="landscape"/>
  <headerFooter alignWithMargins="0" scaleWithDoc="0"/>
  <rowBreaks count="3" manualBreakCount="3">
    <brk id="28" max="18" man="1"/>
    <brk id="70" max="18" man="1"/>
    <brk id="112" max="18"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1"/>
  <sheetViews>
    <sheetView showZeros="0" view="pageBreakPreview" zoomScaleNormal="100" topLeftCell="A2" workbookViewId="0">
      <selection activeCell="E39" sqref="E39:H39"/>
    </sheetView>
  </sheetViews>
  <sheetFormatPr defaultColWidth="9" defaultRowHeight="15.75"/>
  <cols>
    <col min="1" max="1" width="2.125" customWidth="1"/>
    <col min="2" max="2" width="16.5" style="27" customWidth="1"/>
    <col min="3" max="3" width="14.25" style="27" customWidth="1"/>
    <col min="4" max="4" width="12.5" style="27" customWidth="1"/>
    <col min="5" max="5" width="15.375" style="27" customWidth="1"/>
    <col min="6" max="6" width="12.875" style="27" customWidth="1"/>
    <col min="7" max="7" width="5.875" style="27" customWidth="1"/>
    <col min="8" max="8" width="12.75" style="27" customWidth="1"/>
    <col min="9" max="9" width="1.5" style="27" customWidth="1"/>
    <col min="10" max="10" width="6.25" style="27" customWidth="1"/>
    <col min="11" max="16384" width="9" style="27"/>
  </cols>
  <sheetData>
    <row r="1" ht="48" customHeight="1"/>
    <row r="2" ht="57" customHeight="1" spans="2:10">
      <c r="B2" s="83" t="s">
        <v>151</v>
      </c>
      <c r="C2" s="84"/>
      <c r="D2" s="84"/>
      <c r="E2" s="84"/>
      <c r="F2" s="84"/>
      <c r="G2" s="84"/>
      <c r="H2" s="84"/>
      <c r="I2" s="84"/>
    </row>
    <row r="3" ht="12" customHeight="1" spans="2:10">
      <c r="B3" s="115" t="s">
        <v>152</v>
      </c>
      <c r="C3" s="85" t="str">
        <f>报关单!V5</f>
        <v>深圳市比苛电池有限公司</v>
      </c>
      <c r="D3" s="85"/>
      <c r="E3" s="85"/>
      <c r="F3" s="116"/>
      <c r="G3" s="115"/>
      <c r="H3" s="82"/>
      <c r="I3" s="82"/>
    </row>
    <row r="4" ht="9.95" customHeight="1" spans="2:10">
      <c r="B4" s="117" t="s">
        <v>153</v>
      </c>
      <c r="C4" s="118"/>
      <c r="D4" s="118"/>
      <c r="E4" s="118"/>
      <c r="F4" s="119"/>
      <c r="G4" s="120"/>
      <c r="H4" s="120"/>
      <c r="I4" s="120"/>
    </row>
    <row r="5" ht="11.1" customHeight="1" spans="2:10">
      <c r="B5" s="121" t="s">
        <v>154</v>
      </c>
      <c r="C5" s="122" t="s">
        <v>71</v>
      </c>
      <c r="D5" s="123"/>
      <c r="E5" s="123"/>
      <c r="F5" s="124"/>
      <c r="G5" s="125"/>
      <c r="H5" s="82"/>
      <c r="I5" s="82"/>
    </row>
    <row r="6" ht="15" customHeight="1" spans="2:10">
      <c r="B6" s="121" t="s">
        <v>155</v>
      </c>
      <c r="C6" s="126"/>
      <c r="D6" s="126"/>
      <c r="E6" s="126"/>
      <c r="F6" s="116" t="s">
        <v>156</v>
      </c>
      <c r="G6" s="115"/>
      <c r="H6" s="82"/>
      <c r="I6" s="82"/>
    </row>
    <row r="7" ht="12.95" customHeight="1" spans="2:10">
      <c r="B7" s="121" t="s">
        <v>157</v>
      </c>
      <c r="C7" s="127" t="s">
        <v>77</v>
      </c>
      <c r="D7" s="128" t="s">
        <v>158</v>
      </c>
      <c r="E7" s="127" t="s">
        <v>79</v>
      </c>
      <c r="F7" s="119" t="s">
        <v>159</v>
      </c>
      <c r="G7" s="129" t="str">
        <f>报关单!A10</f>
        <v>PK-260512006</v>
      </c>
      <c r="H7" s="129"/>
      <c r="I7" s="129"/>
      <c r="J7" s="28"/>
    </row>
    <row r="8" ht="12.95" customHeight="1" spans="2:10">
      <c r="B8" s="38" t="s">
        <v>160</v>
      </c>
      <c r="C8" s="130"/>
      <c r="D8" s="131" t="s">
        <v>161</v>
      </c>
      <c r="E8" s="130"/>
      <c r="F8" s="119" t="s">
        <v>162</v>
      </c>
      <c r="G8" s="121"/>
      <c r="H8" s="82"/>
      <c r="I8" s="82"/>
    </row>
    <row r="9" ht="11.1" customHeight="1" spans="2:10">
      <c r="B9" s="132" t="s">
        <v>163</v>
      </c>
      <c r="C9" s="133" t="str">
        <f>报关单!V8</f>
        <v>DURNERGY Inc.</v>
      </c>
      <c r="D9" s="133"/>
      <c r="E9" s="133"/>
      <c r="F9" s="119" t="s">
        <v>164</v>
      </c>
      <c r="G9" s="134">
        <f ca="1">报关单!L3</f>
        <v>46161</v>
      </c>
      <c r="H9" s="134"/>
      <c r="I9" s="134"/>
    </row>
    <row r="10" ht="13.5" customHeight="1" spans="2:10">
      <c r="B10" s="115" t="s">
        <v>165</v>
      </c>
      <c r="C10" s="135"/>
      <c r="D10" s="135"/>
      <c r="E10" s="135"/>
      <c r="F10" s="136" t="s">
        <v>166</v>
      </c>
      <c r="G10" s="137"/>
      <c r="H10" s="121"/>
      <c r="I10" s="121"/>
    </row>
    <row r="11" ht="16.5" customHeight="1" spans="2:10">
      <c r="B11" s="115" t="s">
        <v>167</v>
      </c>
      <c r="C11" s="122"/>
      <c r="D11" s="133"/>
      <c r="E11" s="133"/>
      <c r="F11" s="119" t="s">
        <v>168</v>
      </c>
      <c r="G11" s="138" t="str">
        <f>报关单!V3</f>
        <v>深圳</v>
      </c>
      <c r="H11" s="120"/>
      <c r="I11" s="120"/>
    </row>
    <row r="12" ht="13.5" customHeight="1" spans="2:10">
      <c r="B12" s="115" t="s">
        <v>169</v>
      </c>
      <c r="C12" s="135"/>
      <c r="D12" s="135"/>
      <c r="E12" s="135"/>
      <c r="F12" s="139" t="s">
        <v>170</v>
      </c>
      <c r="G12" s="140" t="str">
        <f>报关单!V4</f>
        <v>FOB</v>
      </c>
      <c r="H12" s="141" t="str">
        <f>报关单!W4</f>
        <v>SHENZHEN</v>
      </c>
      <c r="I12" s="141"/>
    </row>
    <row r="13" ht="9.95" customHeight="1" spans="2:10">
      <c r="B13" s="115" t="s">
        <v>171</v>
      </c>
      <c r="C13" s="142" t="str">
        <f>报关单!V10</f>
        <v>+84-2222 3634300</v>
      </c>
      <c r="D13" s="143" t="s">
        <v>172</v>
      </c>
      <c r="E13" s="142"/>
      <c r="F13" s="144"/>
      <c r="G13" s="140"/>
      <c r="H13" s="141"/>
      <c r="I13" s="141"/>
    </row>
    <row r="14" ht="9" customHeight="1" spans="2:10">
      <c r="B14" s="38" t="s">
        <v>173</v>
      </c>
      <c r="C14" s="145"/>
      <c r="D14" s="38" t="s">
        <v>161</v>
      </c>
      <c r="E14" s="145"/>
      <c r="F14" s="146"/>
      <c r="G14" s="146"/>
      <c r="H14" s="82"/>
      <c r="I14" s="82"/>
    </row>
    <row r="15" ht="13.5" customHeight="1" spans="2:10">
      <c r="B15" s="147" t="s">
        <v>174</v>
      </c>
      <c r="C15" s="148"/>
      <c r="D15" s="146"/>
      <c r="E15" s="146"/>
      <c r="F15" s="146"/>
      <c r="G15" s="146"/>
      <c r="H15" s="82"/>
      <c r="I15" s="82"/>
    </row>
    <row r="16" ht="13.5" customHeight="1" spans="2:10">
      <c r="B16" s="149" t="s">
        <v>175</v>
      </c>
      <c r="C16" s="149"/>
      <c r="D16" s="149"/>
      <c r="E16" s="149"/>
      <c r="F16" s="149"/>
      <c r="G16" s="149"/>
      <c r="H16" s="149"/>
      <c r="I16" s="149"/>
    </row>
    <row r="17" s="25" customFormat="1" customHeight="1" spans="2:9">
      <c r="B17" s="150" t="s">
        <v>176</v>
      </c>
      <c r="C17" s="151"/>
      <c r="D17" s="152" t="s">
        <v>177</v>
      </c>
      <c r="E17" s="152" t="s">
        <v>178</v>
      </c>
      <c r="F17" s="152" t="s">
        <v>179</v>
      </c>
      <c r="G17" s="150" t="s">
        <v>180</v>
      </c>
      <c r="H17" s="153"/>
      <c r="I17" s="151"/>
    </row>
    <row r="18" s="25" customFormat="1" ht="10.5" customHeight="1" spans="2:9">
      <c r="B18" s="154" t="s">
        <v>181</v>
      </c>
      <c r="C18" s="155"/>
      <c r="D18" s="156" t="s">
        <v>182</v>
      </c>
      <c r="E18" s="156" t="s">
        <v>183</v>
      </c>
      <c r="F18" s="156" t="s">
        <v>184</v>
      </c>
      <c r="G18" s="154" t="s">
        <v>185</v>
      </c>
      <c r="H18" s="145"/>
      <c r="I18" s="155"/>
    </row>
    <row r="19" s="25" customFormat="1" ht="12" customHeight="1" spans="2:9">
      <c r="B19" s="157" t="str">
        <f ca="1">发票!C9</f>
        <v>锂电池</v>
      </c>
      <c r="C19" s="158"/>
      <c r="D19" s="159">
        <f ca="1">发票!D9</f>
        <v>28520</v>
      </c>
      <c r="E19" s="160" t="str">
        <f ca="1">发票!E9</f>
        <v>个</v>
      </c>
      <c r="F19" s="161">
        <f ca="1">发票!F9</f>
        <v>0.85</v>
      </c>
      <c r="G19" s="162" t="str">
        <f ca="1">发票!G9</f>
        <v>美元</v>
      </c>
      <c r="H19" s="163">
        <f ca="1">发票!H9</f>
        <v>24242</v>
      </c>
      <c r="I19" s="164"/>
    </row>
    <row r="20" s="25" customFormat="1" ht="12" customHeight="1" spans="2:9">
      <c r="B20" s="157">
        <f ca="1">发票!C10</f>
        <v>0</v>
      </c>
      <c r="C20" s="158"/>
      <c r="D20" s="159">
        <f ca="1">发票!D10</f>
        <v>0</v>
      </c>
      <c r="E20" s="160">
        <f ca="1">发票!E10</f>
        <v>0</v>
      </c>
      <c r="F20" s="161">
        <f ca="1">发票!F10</f>
        <v>0</v>
      </c>
      <c r="G20" s="162">
        <f ca="1">发票!G10</f>
        <v>0</v>
      </c>
      <c r="H20" s="163">
        <f ca="1">发票!H10</f>
        <v>0</v>
      </c>
      <c r="I20" s="164"/>
    </row>
    <row r="21" s="25" customFormat="1" ht="12" customHeight="1" spans="2:9">
      <c r="B21" s="157">
        <f ca="1">发票!C11</f>
        <v>0</v>
      </c>
      <c r="C21" s="158"/>
      <c r="D21" s="159">
        <f ca="1">发票!D11</f>
        <v>0</v>
      </c>
      <c r="E21" s="160">
        <f ca="1">发票!E11</f>
        <v>0</v>
      </c>
      <c r="F21" s="161">
        <f ca="1">发票!F11</f>
        <v>0</v>
      </c>
      <c r="G21" s="162">
        <f ca="1">发票!G11</f>
        <v>0</v>
      </c>
      <c r="H21" s="163">
        <f ca="1">发票!H11</f>
        <v>0</v>
      </c>
      <c r="I21" s="164"/>
    </row>
    <row r="22" s="25" customFormat="1" ht="12" customHeight="1" spans="2:9">
      <c r="B22" s="157">
        <f ca="1">发票!C12</f>
        <v>0</v>
      </c>
      <c r="C22" s="158"/>
      <c r="D22" s="159">
        <f ca="1">发票!D12</f>
        <v>0</v>
      </c>
      <c r="E22" s="160">
        <f ca="1">发票!E12</f>
        <v>0</v>
      </c>
      <c r="F22" s="161">
        <f ca="1">发票!F12</f>
        <v>0</v>
      </c>
      <c r="G22" s="162">
        <f ca="1">发票!G12</f>
        <v>0</v>
      </c>
      <c r="H22" s="163">
        <f ca="1">发票!H12</f>
        <v>0</v>
      </c>
      <c r="I22" s="164"/>
    </row>
    <row r="23" s="25" customFormat="1" ht="12" customHeight="1" spans="2:9">
      <c r="B23" s="157">
        <f ca="1">发票!C13</f>
        <v>0</v>
      </c>
      <c r="C23" s="158"/>
      <c r="D23" s="159">
        <f ca="1">发票!D13</f>
        <v>0</v>
      </c>
      <c r="E23" s="160">
        <f ca="1">发票!E13</f>
        <v>0</v>
      </c>
      <c r="F23" s="161">
        <f ca="1">发票!F13</f>
        <v>0</v>
      </c>
      <c r="G23" s="162">
        <f ca="1">发票!G13</f>
        <v>0</v>
      </c>
      <c r="H23" s="163">
        <f ca="1">发票!H13</f>
        <v>0</v>
      </c>
      <c r="I23" s="164"/>
    </row>
    <row r="24" s="25" customFormat="1" ht="12" customHeight="1" spans="2:9">
      <c r="B24" s="157">
        <f ca="1">发票!C14</f>
        <v>0</v>
      </c>
      <c r="C24" s="158"/>
      <c r="D24" s="159">
        <f ca="1">发票!D14</f>
        <v>0</v>
      </c>
      <c r="E24" s="160">
        <f ca="1">发票!E14</f>
        <v>0</v>
      </c>
      <c r="F24" s="161">
        <f ca="1">发票!F14</f>
        <v>0</v>
      </c>
      <c r="G24" s="162">
        <f ca="1">发票!G14</f>
        <v>0</v>
      </c>
      <c r="H24" s="163">
        <f ca="1">发票!H14</f>
        <v>0</v>
      </c>
      <c r="I24" s="164"/>
    </row>
    <row r="25" s="25" customFormat="1" ht="12" customHeight="1" spans="2:9">
      <c r="B25" s="157">
        <f ca="1">发票!C15</f>
        <v>0</v>
      </c>
      <c r="C25" s="158"/>
      <c r="D25" s="159">
        <f ca="1">发票!D15</f>
        <v>0</v>
      </c>
      <c r="E25" s="160">
        <f ca="1">发票!E15</f>
        <v>0</v>
      </c>
      <c r="F25" s="161">
        <f ca="1">发票!F15</f>
        <v>0</v>
      </c>
      <c r="G25" s="162">
        <f ca="1">发票!G15</f>
        <v>0</v>
      </c>
      <c r="H25" s="163">
        <f ca="1">发票!H15</f>
        <v>0</v>
      </c>
      <c r="I25" s="164"/>
    </row>
    <row r="26" s="25" customFormat="1" ht="12" customHeight="1" spans="2:9">
      <c r="B26" s="157">
        <f ca="1">发票!C16</f>
        <v>0</v>
      </c>
      <c r="C26" s="158"/>
      <c r="D26" s="159">
        <f ca="1">发票!D16</f>
        <v>0</v>
      </c>
      <c r="E26" s="160">
        <f ca="1">发票!E16</f>
        <v>0</v>
      </c>
      <c r="F26" s="161">
        <f ca="1">发票!F16</f>
        <v>0</v>
      </c>
      <c r="G26" s="162">
        <f ca="1">发票!G16</f>
        <v>0</v>
      </c>
      <c r="H26" s="163">
        <f ca="1">发票!H16</f>
        <v>0</v>
      </c>
      <c r="I26" s="164"/>
    </row>
    <row r="27" s="25" customFormat="1" ht="12" customHeight="1" spans="2:9">
      <c r="B27" s="157">
        <f ca="1">发票!C17</f>
        <v>0</v>
      </c>
      <c r="C27" s="158"/>
      <c r="D27" s="159">
        <f ca="1">发票!D17</f>
        <v>0</v>
      </c>
      <c r="E27" s="160">
        <f ca="1">发票!E17</f>
        <v>0</v>
      </c>
      <c r="F27" s="161">
        <f ca="1">发票!F17</f>
        <v>0</v>
      </c>
      <c r="G27" s="162">
        <f ca="1">发票!G17</f>
        <v>0</v>
      </c>
      <c r="H27" s="163">
        <f ca="1">发票!H17</f>
        <v>0</v>
      </c>
      <c r="I27" s="164"/>
    </row>
    <row r="28" s="25" customFormat="1" ht="12" customHeight="1" spans="2:9">
      <c r="B28" s="157">
        <f ca="1">发票!C18</f>
        <v>0</v>
      </c>
      <c r="C28" s="158"/>
      <c r="D28" s="159">
        <f ca="1">发票!D18</f>
        <v>0</v>
      </c>
      <c r="E28" s="160">
        <f ca="1">发票!E18</f>
        <v>0</v>
      </c>
      <c r="F28" s="161">
        <f ca="1">发票!F18</f>
        <v>0</v>
      </c>
      <c r="G28" s="162">
        <f ca="1">发票!G18</f>
        <v>0</v>
      </c>
      <c r="H28" s="163">
        <f ca="1">发票!H18</f>
        <v>0</v>
      </c>
      <c r="I28" s="164"/>
    </row>
    <row r="29" s="25" customFormat="1" ht="12" customHeight="1" spans="2:9">
      <c r="B29" s="157">
        <f ca="1">发票!C19</f>
        <v>0</v>
      </c>
      <c r="C29" s="158"/>
      <c r="D29" s="159">
        <f ca="1">发票!D19</f>
        <v>0</v>
      </c>
      <c r="E29" s="160">
        <f ca="1">发票!E19</f>
        <v>0</v>
      </c>
      <c r="F29" s="161">
        <f ca="1">发票!F19</f>
        <v>0</v>
      </c>
      <c r="G29" s="162">
        <f ca="1">发票!G19</f>
        <v>0</v>
      </c>
      <c r="H29" s="163">
        <f ca="1">发票!H19</f>
        <v>0</v>
      </c>
      <c r="I29" s="164"/>
    </row>
    <row r="30" s="25" customFormat="1" ht="12" customHeight="1" spans="2:9">
      <c r="B30" s="157">
        <f ca="1">发票!C20</f>
        <v>0</v>
      </c>
      <c r="C30" s="158"/>
      <c r="D30" s="159">
        <f ca="1">发票!D20</f>
        <v>0</v>
      </c>
      <c r="E30" s="160">
        <f ca="1">发票!E20</f>
        <v>0</v>
      </c>
      <c r="F30" s="161">
        <f ca="1">发票!F20</f>
        <v>0</v>
      </c>
      <c r="G30" s="162">
        <f ca="1">发票!G20</f>
        <v>0</v>
      </c>
      <c r="H30" s="163">
        <f ca="1">发票!H20</f>
        <v>0</v>
      </c>
      <c r="I30" s="164"/>
    </row>
    <row r="31" s="25" customFormat="1" ht="12" customHeight="1" spans="2:9">
      <c r="B31" s="157">
        <f ca="1">发票!C21</f>
        <v>0</v>
      </c>
      <c r="C31" s="158"/>
      <c r="D31" s="159">
        <f ca="1">发票!D21</f>
        <v>0</v>
      </c>
      <c r="E31" s="160">
        <f ca="1">发票!E21</f>
        <v>0</v>
      </c>
      <c r="F31" s="161">
        <f ca="1">发票!F21</f>
        <v>0</v>
      </c>
      <c r="G31" s="162">
        <f ca="1">发票!G21</f>
        <v>0</v>
      </c>
      <c r="H31" s="163">
        <f ca="1">发票!H21</f>
        <v>0</v>
      </c>
      <c r="I31" s="164"/>
    </row>
    <row r="32" s="25" customFormat="1" ht="12" customHeight="1" spans="2:9">
      <c r="B32" s="157">
        <f ca="1">发票!C22</f>
        <v>0</v>
      </c>
      <c r="C32" s="158"/>
      <c r="D32" s="159">
        <f ca="1">发票!D22</f>
        <v>0</v>
      </c>
      <c r="E32" s="160">
        <f ca="1">发票!E22</f>
        <v>0</v>
      </c>
      <c r="F32" s="161">
        <f ca="1">发票!F22</f>
        <v>0</v>
      </c>
      <c r="G32" s="162">
        <f ca="1">发票!G22</f>
        <v>0</v>
      </c>
      <c r="H32" s="163">
        <f ca="1">发票!H21</f>
        <v>0</v>
      </c>
      <c r="I32" s="164"/>
    </row>
    <row r="33" s="25" customFormat="1" ht="12" customHeight="1" spans="2:9">
      <c r="B33" s="157">
        <f ca="1">发票!C22</f>
        <v>0</v>
      </c>
      <c r="C33" s="158"/>
      <c r="D33" s="159">
        <f>发票!D23</f>
        <v>0</v>
      </c>
      <c r="E33" s="160">
        <f ca="1">发票!E22</f>
        <v>0</v>
      </c>
      <c r="F33" s="161">
        <f ca="1">发票!F22</f>
        <v>0</v>
      </c>
      <c r="G33" s="162">
        <f ca="1">发票!G22</f>
        <v>0</v>
      </c>
      <c r="H33" s="163">
        <f ca="1">发票!H22</f>
        <v>0</v>
      </c>
      <c r="I33" s="164"/>
    </row>
    <row r="34" s="25" customFormat="1" ht="12" customHeight="1" spans="2:9">
      <c r="B34" s="157">
        <f>发票!B18</f>
        <v>0</v>
      </c>
      <c r="C34" s="158"/>
      <c r="D34" s="159">
        <f ca="1">发票!D18</f>
        <v>0</v>
      </c>
      <c r="E34" s="160">
        <f ca="1">发票!E18</f>
        <v>0</v>
      </c>
      <c r="F34" s="161">
        <f ca="1">发票!F18</f>
        <v>0</v>
      </c>
      <c r="G34" s="162">
        <f ca="1">发票!G18</f>
        <v>0</v>
      </c>
      <c r="H34" s="163">
        <f ca="1">发票!H18</f>
        <v>0</v>
      </c>
      <c r="I34" s="164"/>
    </row>
    <row r="35" s="25" customFormat="1" ht="12" customHeight="1" spans="2:9">
      <c r="B35" s="157"/>
      <c r="C35" s="158"/>
      <c r="D35" s="159"/>
      <c r="E35" s="160"/>
      <c r="F35" s="161"/>
      <c r="G35" s="162"/>
      <c r="H35" s="163"/>
      <c r="I35" s="164"/>
    </row>
    <row r="36" s="25" customFormat="1" ht="12" customHeight="1" spans="2:9">
      <c r="B36" s="165"/>
      <c r="C36" s="166"/>
      <c r="D36" s="167"/>
      <c r="E36" s="168"/>
      <c r="F36" s="169"/>
      <c r="G36" s="170"/>
      <c r="H36" s="171"/>
      <c r="I36" s="172"/>
    </row>
    <row r="37" ht="13.5" customHeight="1" spans="2:9">
      <c r="B37" s="147" t="s">
        <v>186</v>
      </c>
      <c r="C37" s="147"/>
      <c r="D37" s="146"/>
      <c r="E37" s="146"/>
      <c r="F37" s="173" t="s">
        <v>187</v>
      </c>
      <c r="G37" s="174" t="str">
        <f ca="1">G19</f>
        <v>美元</v>
      </c>
      <c r="H37" s="175">
        <f ca="1">SUM(H19:I36)</f>
        <v>24242</v>
      </c>
      <c r="I37" s="175"/>
    </row>
    <row r="38" ht="13.5" customHeight="1" spans="2:9">
      <c r="B38" s="176" t="s">
        <v>188</v>
      </c>
      <c r="C38" s="176"/>
      <c r="D38" s="176"/>
      <c r="E38" s="176"/>
      <c r="F38" s="177" t="s">
        <v>189</v>
      </c>
      <c r="G38" s="178"/>
      <c r="H38" s="179"/>
      <c r="I38" s="179"/>
    </row>
    <row r="39" ht="13.5" customHeight="1" spans="2:9">
      <c r="B39" s="180" t="s">
        <v>190</v>
      </c>
      <c r="C39" s="181"/>
      <c r="D39" s="182" t="str">
        <f ca="1">IF(G37="CNY","总计人民币:",IF(G37="USD","总计美元: ","  "))</f>
        <v>  </v>
      </c>
      <c r="E39" s="183">
        <f ca="1">H37</f>
        <v>24242</v>
      </c>
      <c r="F39" s="183"/>
      <c r="G39" s="183"/>
      <c r="H39" s="183"/>
      <c r="I39" s="184"/>
    </row>
    <row r="40" ht="13.5" customHeight="1" spans="2:9">
      <c r="B40" s="146" t="s">
        <v>191</v>
      </c>
      <c r="C40" s="146"/>
      <c r="D40" s="182"/>
      <c r="E40" s="184"/>
      <c r="F40" s="184"/>
      <c r="G40" s="184"/>
      <c r="H40" s="184"/>
      <c r="I40" s="184"/>
    </row>
    <row r="41" ht="13.5" customHeight="1" spans="2:9">
      <c r="B41" s="35" t="s">
        <v>192</v>
      </c>
      <c r="C41" s="93"/>
      <c r="D41" s="185"/>
      <c r="E41" s="186"/>
      <c r="F41" s="186"/>
      <c r="G41" s="186"/>
      <c r="H41" s="186"/>
      <c r="I41" s="186"/>
    </row>
    <row r="42" ht="12" customHeight="1" spans="2:9">
      <c r="B42" s="146" t="s">
        <v>193</v>
      </c>
      <c r="C42" s="146"/>
      <c r="D42" s="186"/>
      <c r="E42" s="186"/>
      <c r="F42" s="186"/>
      <c r="G42" s="186"/>
      <c r="H42" s="186"/>
      <c r="I42" s="186"/>
    </row>
    <row r="43" ht="13.5" customHeight="1" spans="2:9">
      <c r="B43" s="35" t="s">
        <v>194</v>
      </c>
      <c r="C43" s="35"/>
      <c r="D43" s="186"/>
      <c r="E43" s="186"/>
      <c r="F43" s="186"/>
      <c r="G43" s="186"/>
      <c r="H43" s="186"/>
      <c r="I43" s="186"/>
    </row>
    <row r="44" ht="15.95" customHeight="1" spans="2:9">
      <c r="B44" s="35" t="s">
        <v>195</v>
      </c>
      <c r="C44" s="187">
        <f ca="1">TODAY()+30</f>
        <v>46191</v>
      </c>
      <c r="D44" s="187"/>
      <c r="E44" s="112" t="s">
        <v>196</v>
      </c>
      <c r="F44" s="35"/>
      <c r="G44" s="35"/>
      <c r="H44" s="82"/>
      <c r="I44" s="82"/>
    </row>
    <row r="45" ht="13.5" customHeight="1" spans="2:9">
      <c r="B45" s="35" t="s">
        <v>197</v>
      </c>
      <c r="C45" s="35"/>
      <c r="D45" s="87" t="str">
        <f>箱单!D7</f>
        <v>美国</v>
      </c>
      <c r="E45" s="181" t="s">
        <v>198</v>
      </c>
      <c r="F45" s="35"/>
      <c r="G45" s="35"/>
      <c r="H45" s="82"/>
      <c r="I45" s="82"/>
    </row>
    <row r="46" ht="9.95" customHeight="1" spans="2:9">
      <c r="B46" s="35" t="s">
        <v>199</v>
      </c>
      <c r="C46" s="35"/>
      <c r="D46" s="35"/>
      <c r="E46" s="35"/>
      <c r="F46" s="35"/>
      <c r="G46" s="35"/>
      <c r="H46" s="35"/>
      <c r="I46" s="35"/>
    </row>
    <row r="47" ht="13.5" customHeight="1" spans="2:9">
      <c r="B47" s="35" t="s">
        <v>200</v>
      </c>
      <c r="C47" s="35"/>
      <c r="D47" s="35"/>
      <c r="E47" s="35"/>
      <c r="F47" s="35"/>
      <c r="G47" s="146"/>
      <c r="H47" s="82"/>
      <c r="I47" s="82"/>
    </row>
    <row r="48" ht="12" customHeight="1" spans="2:9">
      <c r="B48" s="146" t="s">
        <v>201</v>
      </c>
      <c r="C48" s="35"/>
      <c r="D48" s="35"/>
      <c r="E48" s="35"/>
      <c r="F48" s="35"/>
      <c r="G48" s="188"/>
      <c r="H48" s="82"/>
      <c r="I48" s="82"/>
    </row>
    <row r="49" ht="13.5" customHeight="1" spans="2:9">
      <c r="B49" s="35" t="s">
        <v>202</v>
      </c>
      <c r="C49" s="94" t="str">
        <f>箱单!G7</f>
        <v>电汇</v>
      </c>
      <c r="D49" s="87"/>
      <c r="E49" s="35"/>
      <c r="F49" s="35"/>
      <c r="G49" s="189"/>
      <c r="H49" s="82"/>
      <c r="I49" s="82"/>
    </row>
    <row r="50" ht="12" customHeight="1" spans="2:9">
      <c r="B50" s="35" t="s">
        <v>203</v>
      </c>
      <c r="C50" s="35"/>
      <c r="D50" s="35"/>
      <c r="E50" s="35"/>
      <c r="F50" s="35"/>
      <c r="G50" s="189"/>
      <c r="H50" s="82"/>
      <c r="I50" s="82"/>
    </row>
    <row r="51" ht="13.5" customHeight="1" spans="2:9">
      <c r="B51" s="35" t="s">
        <v>204</v>
      </c>
      <c r="C51" s="80"/>
      <c r="D51" s="80"/>
      <c r="E51" s="80"/>
      <c r="F51" s="80"/>
      <c r="G51" s="80"/>
      <c r="H51" s="82"/>
      <c r="I51" s="82"/>
    </row>
    <row r="52" ht="12" customHeight="1" spans="2:9">
      <c r="B52" s="35" t="s">
        <v>205</v>
      </c>
      <c r="C52" s="80"/>
      <c r="D52" s="80"/>
      <c r="E52" s="80"/>
      <c r="F52" s="80"/>
      <c r="G52" s="80"/>
      <c r="H52" s="82"/>
      <c r="I52" s="82"/>
    </row>
    <row r="53" ht="13.5" hidden="1" customHeight="1" spans="2:9">
      <c r="B53" s="35"/>
      <c r="C53" s="80"/>
      <c r="D53" s="80"/>
      <c r="E53" s="80"/>
      <c r="F53" s="80"/>
      <c r="G53" s="80"/>
      <c r="H53" s="82"/>
      <c r="I53" s="82"/>
    </row>
    <row r="54" ht="2.25" customHeight="1" spans="2:9">
      <c r="B54" s="35"/>
      <c r="C54" s="35"/>
      <c r="D54" s="35"/>
      <c r="E54" s="35"/>
      <c r="F54" s="35"/>
      <c r="G54" s="35"/>
      <c r="H54" s="82"/>
      <c r="I54" s="82"/>
    </row>
    <row r="55" ht="9" customHeight="1" spans="2:9">
      <c r="B55" s="35"/>
      <c r="C55" s="35"/>
      <c r="D55" s="35"/>
      <c r="E55" s="35"/>
      <c r="F55" s="35"/>
      <c r="G55" s="35"/>
      <c r="H55" s="82"/>
      <c r="I55" s="82"/>
    </row>
    <row r="56" ht="13.5" customHeight="1" spans="2:9">
      <c r="B56" s="189" t="s">
        <v>206</v>
      </c>
      <c r="D56" s="35"/>
      <c r="E56" s="26" t="s">
        <v>207</v>
      </c>
      <c r="H56" s="82"/>
      <c r="I56" s="82"/>
    </row>
    <row r="57" ht="13.5" customHeight="1" spans="2:9">
      <c r="B57" s="190" t="s">
        <v>208</v>
      </c>
      <c r="D57" s="35"/>
      <c r="E57" s="189" t="s">
        <v>209</v>
      </c>
      <c r="H57" s="82"/>
      <c r="I57" s="82"/>
    </row>
    <row r="58" ht="13.5" customHeight="1" spans="2:9">
      <c r="B58" s="35" t="s">
        <v>210</v>
      </c>
      <c r="D58" s="35"/>
      <c r="E58" s="35" t="s">
        <v>210</v>
      </c>
      <c r="H58" s="82"/>
      <c r="I58" s="82"/>
    </row>
    <row r="59" ht="9" customHeight="1" spans="2:9">
      <c r="B59" s="26"/>
      <c r="C59" s="26"/>
      <c r="D59" s="26"/>
      <c r="E59" s="26"/>
      <c r="F59" s="26"/>
      <c r="G59" s="26"/>
      <c r="H59" s="82"/>
      <c r="I59" s="82"/>
    </row>
    <row r="60" ht="13.5" customHeight="1"/>
    <row r="61" ht="13.5" customHeight="1"/>
  </sheetData>
  <mergeCells count="73">
    <mergeCell ref="B2:I2"/>
    <mergeCell ref="H3:I3"/>
    <mergeCell ref="G4:I4"/>
    <mergeCell ref="H5:I5"/>
    <mergeCell ref="H6:I6"/>
    <mergeCell ref="G7:I7"/>
    <mergeCell ref="H8:I8"/>
    <mergeCell ref="G9:I9"/>
    <mergeCell ref="H10:I10"/>
    <mergeCell ref="G11:I11"/>
    <mergeCell ref="H14:I14"/>
    <mergeCell ref="H15:I15"/>
    <mergeCell ref="B16:I16"/>
    <mergeCell ref="B17:C17"/>
    <mergeCell ref="G17:I17"/>
    <mergeCell ref="B18:C18"/>
    <mergeCell ref="G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6:C36"/>
    <mergeCell ref="H36:I36"/>
    <mergeCell ref="B38:E38"/>
    <mergeCell ref="E39:H39"/>
    <mergeCell ref="C44:D44"/>
    <mergeCell ref="C7:C8"/>
    <mergeCell ref="C13:C14"/>
    <mergeCell ref="E7:E8"/>
    <mergeCell ref="E13:E14"/>
    <mergeCell ref="F12:F13"/>
    <mergeCell ref="G12:G13"/>
    <mergeCell ref="G37:G38"/>
    <mergeCell ref="C51:G53"/>
    <mergeCell ref="H47:I59"/>
    <mergeCell ref="C9:E10"/>
    <mergeCell ref="C11:E12"/>
    <mergeCell ref="D41:I43"/>
    <mergeCell ref="H44:I45"/>
    <mergeCell ref="H37:I38"/>
    <mergeCell ref="H12:I13"/>
    <mergeCell ref="C3:E4"/>
    <mergeCell ref="C5:E6"/>
  </mergeCells>
  <pageMargins left="0.2" right="0.2" top="0.28" bottom="0.24" header="0.24" footer="0.08"/>
  <pageSetup paperSize="9" orientation="portrait"/>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showZeros="0" view="pageBreakPreview" zoomScaleNormal="100" topLeftCell="A4" workbookViewId="0">
      <selection activeCell="K15" sqref="K15"/>
    </sheetView>
  </sheetViews>
  <sheetFormatPr defaultColWidth="9" defaultRowHeight="15.7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69" customHeight="1"/>
    <row r="2" ht="72" customHeight="1" spans="1:9">
      <c r="A2" s="83" t="s">
        <v>211</v>
      </c>
      <c r="B2" s="83"/>
      <c r="C2" s="83"/>
      <c r="D2" s="83"/>
      <c r="E2" s="83"/>
      <c r="F2" s="83"/>
      <c r="G2" s="83"/>
      <c r="H2" s="83"/>
    </row>
    <row r="3" ht="26.1" customHeight="1" spans="1:9">
      <c r="A3" s="84"/>
      <c r="B3" s="84"/>
      <c r="C3" s="84"/>
      <c r="D3" s="84"/>
      <c r="E3" s="84"/>
      <c r="F3" s="85" t="s">
        <v>212</v>
      </c>
      <c r="G3" s="86" t="str">
        <f>报关单!A10</f>
        <v>PK-260512006</v>
      </c>
      <c r="H3" s="86"/>
    </row>
    <row r="4" ht="33.95" customHeight="1" spans="1:9">
      <c r="A4" s="33" t="s">
        <v>213</v>
      </c>
      <c r="B4" s="33"/>
      <c r="C4" s="42" t="str">
        <f>报关单!A6</f>
        <v>DURNERGY Inc.</v>
      </c>
      <c r="D4" s="42"/>
      <c r="E4" s="87"/>
      <c r="F4" s="88" t="s">
        <v>214</v>
      </c>
      <c r="G4" s="89">
        <f ca="1">TODAY()</f>
        <v>46161</v>
      </c>
      <c r="H4" s="90"/>
    </row>
    <row r="5" customHeight="1" spans="1:9">
      <c r="A5" s="91"/>
      <c r="B5" s="92"/>
      <c r="C5" s="93"/>
      <c r="D5" s="93"/>
      <c r="E5" s="87"/>
      <c r="F5" s="93"/>
      <c r="G5" s="93"/>
      <c r="H5" s="93"/>
    </row>
    <row r="6" ht="6" customHeight="1" spans="1:9">
      <c r="A6" s="87"/>
      <c r="B6" s="93"/>
      <c r="C6" s="93"/>
      <c r="D6" s="87"/>
      <c r="E6" s="87"/>
      <c r="F6" s="87"/>
      <c r="G6" s="87"/>
      <c r="H6" s="87"/>
    </row>
    <row r="7" ht="18" customHeight="1" spans="1:9">
      <c r="A7" s="87"/>
      <c r="B7" s="93"/>
      <c r="C7" s="93"/>
      <c r="D7" s="87"/>
      <c r="E7" s="87"/>
      <c r="F7" s="94" t="s">
        <v>215</v>
      </c>
      <c r="G7" s="87" t="str">
        <f>报关单!V4</f>
        <v>FOB</v>
      </c>
      <c r="H7" s="87" t="str">
        <f>报关单!W4</f>
        <v>SHENZHEN</v>
      </c>
    </row>
    <row r="8" ht="30" customHeight="1" spans="1:9">
      <c r="A8" s="59" t="s">
        <v>216</v>
      </c>
      <c r="B8" s="95"/>
      <c r="C8" s="59" t="s">
        <v>217</v>
      </c>
      <c r="D8" s="59" t="s">
        <v>218</v>
      </c>
      <c r="E8" s="59"/>
      <c r="F8" s="59" t="s">
        <v>219</v>
      </c>
      <c r="G8" s="59" t="s">
        <v>220</v>
      </c>
      <c r="H8" s="59"/>
    </row>
    <row r="9" ht="30" customHeight="1" spans="1:9">
      <c r="A9" s="96"/>
      <c r="B9" s="97"/>
      <c r="C9" s="98" t="str">
        <f ca="1">OFFSET(报关单!$D$1,ROW(报关单!D1)*3+16,0)</f>
        <v>锂电池</v>
      </c>
      <c r="D9" s="98">
        <f ca="1">OFFSET(报关单!$G$1,ROW(报关单!G1)*3+18,0)</f>
        <v>28520</v>
      </c>
      <c r="E9" s="99" t="str">
        <f ca="1">OFFSET(报关单!$H$1,ROW(报关单!H1)*3+18,0)</f>
        <v>个</v>
      </c>
      <c r="F9" s="100">
        <f ca="1">IFERROR(H9/D9,0)</f>
        <v>0.85</v>
      </c>
      <c r="G9" s="101" t="str">
        <f ca="1">OFFSET(报关单!$I$1,ROW(报关单!I1)*3+18,0)</f>
        <v>美元</v>
      </c>
      <c r="H9" s="102">
        <f ca="1">OFFSET(报关单!$I$1,ROW(报关单!I1)*3+17,0)</f>
        <v>24242</v>
      </c>
      <c r="I9" s="103"/>
    </row>
    <row r="10" ht="30" customHeight="1" spans="1:9">
      <c r="A10" s="96"/>
      <c r="B10" s="97"/>
      <c r="C10" s="98">
        <f ca="1">OFFSET(报关单!$D$1,ROW(报关单!D2)*3+16,0)</f>
        <v>0</v>
      </c>
      <c r="D10" s="98">
        <f ca="1">OFFSET(报关单!$G$1,ROW(报关单!G2)*3+18,0)</f>
        <v>0</v>
      </c>
      <c r="E10" s="99">
        <f ca="1">OFFSET(报关单!$H$1,ROW(报关单!H2)*3+18,0)</f>
        <v>0</v>
      </c>
      <c r="F10" s="100">
        <f ca="1" t="shared" ref="F10:F22" si="0">IFERROR(H10/D10,0)</f>
        <v>0</v>
      </c>
      <c r="G10" s="101">
        <f ca="1">OFFSET(报关单!$I$1,ROW(报关单!I2)*3+18,0)</f>
        <v>0</v>
      </c>
      <c r="H10" s="102">
        <f ca="1">OFFSET(报关单!$I$1,ROW(报关单!I2)*3+17,0)</f>
        <v>0</v>
      </c>
    </row>
    <row r="11" ht="30" customHeight="1" spans="1:9">
      <c r="A11" s="96"/>
      <c r="B11" s="97"/>
      <c r="C11" s="98">
        <f ca="1">OFFSET(报关单!$D$1,ROW(报关单!D3)*3+16,0)</f>
        <v>0</v>
      </c>
      <c r="D11" s="98">
        <f ca="1">OFFSET(报关单!$G$1,ROW(报关单!G3)*3+18,0)</f>
        <v>0</v>
      </c>
      <c r="E11" s="99">
        <f ca="1">OFFSET(报关单!$H$1,ROW(报关单!H3)*3+18,0)</f>
        <v>0</v>
      </c>
      <c r="F11" s="100">
        <f ca="1" t="shared" si="0"/>
        <v>0</v>
      </c>
      <c r="G11" s="101">
        <f ca="1">OFFSET(报关单!$I$1,ROW(报关单!I3)*3+18,0)</f>
        <v>0</v>
      </c>
      <c r="H11" s="102">
        <f ca="1">OFFSET(报关单!$I$1,ROW(报关单!I3)*3+17,0)</f>
        <v>0</v>
      </c>
    </row>
    <row r="12" ht="30" customHeight="1" spans="1:9">
      <c r="A12" s="96"/>
      <c r="B12" s="97"/>
      <c r="C12" s="98">
        <f ca="1">OFFSET(报关单!$D$1,ROW(报关单!D4)*3+16,0)</f>
        <v>0</v>
      </c>
      <c r="D12" s="98">
        <f ca="1">OFFSET(报关单!$G$1,ROW(报关单!G4)*3+18,0)</f>
        <v>0</v>
      </c>
      <c r="E12" s="99">
        <f ca="1">OFFSET(报关单!$H$1,ROW(报关单!H4)*3+18,0)</f>
        <v>0</v>
      </c>
      <c r="F12" s="100">
        <f ca="1" t="shared" si="0"/>
        <v>0</v>
      </c>
      <c r="G12" s="101">
        <f ca="1">OFFSET(报关单!$I$1,ROW(报关单!I4)*3+18,0)</f>
        <v>0</v>
      </c>
      <c r="H12" s="100">
        <f ca="1">OFFSET(报关单!$I$1,ROW(报关单!I4)*3+17,0)</f>
        <v>0</v>
      </c>
    </row>
    <row r="13" ht="30" customHeight="1" spans="1:9">
      <c r="A13" s="96"/>
      <c r="B13" s="97"/>
      <c r="C13" s="98">
        <f ca="1">OFFSET(报关单!$D$1,ROW(报关单!D5)*3+16,0)</f>
        <v>0</v>
      </c>
      <c r="D13" s="98">
        <f ca="1">OFFSET(报关单!$G$1,ROW(报关单!G5)*3+18,0)</f>
        <v>0</v>
      </c>
      <c r="E13" s="99">
        <f ca="1">OFFSET(报关单!$H$1,ROW(报关单!H5)*3+18,0)</f>
        <v>0</v>
      </c>
      <c r="F13" s="100">
        <f ca="1" t="shared" si="0"/>
        <v>0</v>
      </c>
      <c r="G13" s="101">
        <f ca="1">OFFSET(报关单!$I$1,ROW(报关单!I5)*3+18,0)</f>
        <v>0</v>
      </c>
      <c r="H13" s="100">
        <f ca="1">OFFSET(报关单!$I$1,ROW(报关单!I5)*3+17,0)</f>
        <v>0</v>
      </c>
    </row>
    <row r="14" ht="30" customHeight="1" spans="1:9">
      <c r="A14" s="96"/>
      <c r="B14" s="97"/>
      <c r="C14" s="98">
        <f ca="1">OFFSET(报关单!$D$1,ROW(报关单!D6)*3+16,0)</f>
        <v>0</v>
      </c>
      <c r="D14" s="98">
        <f ca="1">OFFSET(报关单!$G$1,ROW(报关单!G6)*3+18,0)</f>
        <v>0</v>
      </c>
      <c r="E14" s="99">
        <f ca="1">OFFSET(报关单!$H$1,ROW(报关单!H6)*3+18,0)</f>
        <v>0</v>
      </c>
      <c r="F14" s="100">
        <f ca="1" t="shared" si="0"/>
        <v>0</v>
      </c>
      <c r="G14" s="101">
        <f ca="1">OFFSET(报关单!$I$1,ROW(报关单!I6)*3+18,0)</f>
        <v>0</v>
      </c>
      <c r="H14" s="100">
        <f ca="1">OFFSET(报关单!$I$1,ROW(报关单!I6)*3+17,0)</f>
        <v>0</v>
      </c>
    </row>
    <row r="15" ht="30" customHeight="1" spans="1:9">
      <c r="A15" s="96"/>
      <c r="B15" s="97"/>
      <c r="C15" s="98">
        <f ca="1">OFFSET(报关单!$D$1,ROW(报关单!D7)*3+16,0)</f>
        <v>0</v>
      </c>
      <c r="D15" s="98">
        <f ca="1">OFFSET(报关单!$G$1,ROW(报关单!G7)*3+18,0)</f>
        <v>0</v>
      </c>
      <c r="E15" s="99">
        <f ca="1">OFFSET(报关单!$H$1,ROW(报关单!H7)*3+18,0)</f>
        <v>0</v>
      </c>
      <c r="F15" s="100">
        <f ca="1" t="shared" si="0"/>
        <v>0</v>
      </c>
      <c r="G15" s="101">
        <f ca="1">OFFSET(报关单!$I$1,ROW(报关单!I7)*3+18,0)</f>
        <v>0</v>
      </c>
      <c r="H15" s="100">
        <f ca="1">OFFSET(报关单!$I$1,ROW(报关单!I7)*3+17,0)</f>
        <v>0</v>
      </c>
    </row>
    <row r="16" ht="30" customHeight="1" spans="1:9">
      <c r="A16" s="96"/>
      <c r="B16" s="97"/>
      <c r="C16" s="98">
        <f ca="1">OFFSET(报关单!$D$1,ROW(报关单!D8)*3+16,0)</f>
        <v>0</v>
      </c>
      <c r="D16" s="98">
        <f ca="1">OFFSET(报关单!$G$1,ROW(报关单!G8)*3+18,0)</f>
        <v>0</v>
      </c>
      <c r="E16" s="99">
        <f ca="1">OFFSET(报关单!$H$1,ROW(报关单!H9)*3+18,0)</f>
        <v>0</v>
      </c>
      <c r="F16" s="100">
        <f ca="1" t="shared" si="0"/>
        <v>0</v>
      </c>
      <c r="G16" s="101">
        <f ca="1">OFFSET(报关单!$I$1,ROW(报关单!I9)*3+18,0)</f>
        <v>0</v>
      </c>
      <c r="H16" s="100">
        <f ca="1">OFFSET(报关单!$I$1,ROW(报关单!I8)*3+17,0)</f>
        <v>0</v>
      </c>
    </row>
    <row r="17" ht="30" customHeight="1" spans="1:8">
      <c r="A17" s="96"/>
      <c r="B17" s="97"/>
      <c r="C17" s="98">
        <f ca="1">OFFSET(报关单!$D$1,ROW(报关单!D9)*3+16,0)</f>
        <v>0</v>
      </c>
      <c r="D17" s="98">
        <f ca="1">OFFSET(报关单!$G$1,ROW(报关单!G9)*3+18,0)</f>
        <v>0</v>
      </c>
      <c r="E17" s="99">
        <f ca="1">OFFSET(报关单!$H$1,ROW(报关单!H10)*3+18,0)</f>
        <v>0</v>
      </c>
      <c r="F17" s="100">
        <f ca="1" t="shared" si="0"/>
        <v>0</v>
      </c>
      <c r="G17" s="101">
        <f ca="1">OFFSET(报关单!$I$1,ROW(报关单!I10)*3+18,0)</f>
        <v>0</v>
      </c>
      <c r="H17" s="100">
        <f ca="1">OFFSET(报关单!$I$1,ROW(报关单!I9)*3+17,0)</f>
        <v>0</v>
      </c>
    </row>
    <row r="18" ht="30" customHeight="1" spans="1:8">
      <c r="A18" s="96"/>
      <c r="B18" s="97"/>
      <c r="C18" s="98">
        <f ca="1">OFFSET(报关单!$D$1,ROW(报关单!D10)*3+16,0)</f>
        <v>0</v>
      </c>
      <c r="D18" s="98">
        <f ca="1">OFFSET(报关单!$G$1,ROW(报关单!G10)*3+18,0)</f>
        <v>0</v>
      </c>
      <c r="E18" s="99">
        <f ca="1">OFFSET(报关单!$H$1,ROW(报关单!H11)*3+18,0)</f>
        <v>0</v>
      </c>
      <c r="F18" s="100">
        <f ca="1" t="shared" si="0"/>
        <v>0</v>
      </c>
      <c r="G18" s="101">
        <f ca="1">OFFSET(报关单!$I$1,ROW(报关单!I11)*3+18,0)</f>
        <v>0</v>
      </c>
      <c r="H18" s="100">
        <f ca="1">OFFSET(报关单!$I$1,ROW(报关单!I10)*3+17,0)</f>
        <v>0</v>
      </c>
    </row>
    <row r="19" ht="30" customHeight="1" spans="1:8">
      <c r="A19" s="96"/>
      <c r="B19" s="97"/>
      <c r="C19" s="98">
        <f ca="1">OFFSET(报关单!$D$1,ROW(报关单!D11)*3+16,0)</f>
        <v>0</v>
      </c>
      <c r="D19" s="98">
        <f ca="1">OFFSET(报关单!$G$1,ROW(报关单!G11)*3+18,0)</f>
        <v>0</v>
      </c>
      <c r="E19" s="99">
        <f ca="1">OFFSET(报关单!$H$1,ROW(报关单!H12)*3+18,0)</f>
        <v>0</v>
      </c>
      <c r="F19" s="100">
        <f ca="1" t="shared" si="0"/>
        <v>0</v>
      </c>
      <c r="G19" s="101">
        <f ca="1">OFFSET(报关单!$I$1,ROW(报关单!I12)*3+18,0)</f>
        <v>0</v>
      </c>
      <c r="H19" s="100">
        <f ca="1">OFFSET(报关单!$I$1,ROW(报关单!I11)*3+17,0)</f>
        <v>0</v>
      </c>
    </row>
    <row r="20" ht="30" customHeight="1" spans="1:8">
      <c r="A20" s="96"/>
      <c r="B20" s="97"/>
      <c r="C20" s="98">
        <f ca="1">OFFSET(报关单!$D$1,ROW(报关单!D12)*3+16,0)</f>
        <v>0</v>
      </c>
      <c r="D20" s="98">
        <f ca="1">OFFSET(报关单!$G$1,ROW(报关单!G12)*3+18,0)</f>
        <v>0</v>
      </c>
      <c r="E20" s="99">
        <f ca="1">OFFSET(报关单!$H$1,ROW(报关单!H13)*3+18,0)</f>
        <v>0</v>
      </c>
      <c r="F20" s="100">
        <f ca="1" t="shared" si="0"/>
        <v>0</v>
      </c>
      <c r="G20" s="101">
        <f ca="1">OFFSET(报关单!$I$1,ROW(报关单!I13)*3+18,0)</f>
        <v>0</v>
      </c>
      <c r="H20" s="100">
        <f ca="1">OFFSET(报关单!$I$1,ROW(报关单!I12)*3+17,0)</f>
        <v>0</v>
      </c>
    </row>
    <row r="21" ht="30" customHeight="1" spans="1:8">
      <c r="A21" s="96"/>
      <c r="B21" s="97"/>
      <c r="C21" s="98">
        <f ca="1">OFFSET(报关单!$D$1,ROW(报关单!D13)*3+16,0)</f>
        <v>0</v>
      </c>
      <c r="D21" s="98">
        <f ca="1">OFFSET(报关单!$G$1,ROW(报关单!G13)*3+18,0)</f>
        <v>0</v>
      </c>
      <c r="E21" s="99">
        <f ca="1">OFFSET(报关单!$H$1,ROW(报关单!H14)*3+18,0)</f>
        <v>0</v>
      </c>
      <c r="F21" s="100">
        <f ca="1" t="shared" si="0"/>
        <v>0</v>
      </c>
      <c r="G21" s="101">
        <f ca="1">OFFSET(报关单!$I$1,ROW(报关单!I14)*3+18,0)</f>
        <v>0</v>
      </c>
      <c r="H21" s="100">
        <f ca="1">OFFSET(报关单!$I$1,ROW(报关单!I13)*3+17,0)</f>
        <v>0</v>
      </c>
    </row>
    <row r="22" ht="30" customHeight="1" spans="1:8">
      <c r="A22" s="96"/>
      <c r="B22" s="97"/>
      <c r="C22" s="98">
        <f ca="1">OFFSET(报关单!$D$1,ROW(报关单!D14)*3+16,0)</f>
        <v>0</v>
      </c>
      <c r="D22" s="98">
        <f ca="1">OFFSET(报关单!$G$1,ROW(报关单!G14)*3+18,0)</f>
        <v>0</v>
      </c>
      <c r="E22" s="99">
        <f ca="1">OFFSET(报关单!$H$1,ROW(报关单!H15)*3+18,0)</f>
        <v>0</v>
      </c>
      <c r="F22" s="100">
        <f ca="1" t="shared" si="0"/>
        <v>0</v>
      </c>
      <c r="G22" s="101">
        <f ca="1">OFFSET(报关单!$I$1,ROW(报关单!I15)*3+18,0)</f>
        <v>0</v>
      </c>
      <c r="H22" s="100">
        <f ca="1">OFFSET(报关单!$I$1,ROW(报关单!I14)*3+17,0)</f>
        <v>0</v>
      </c>
    </row>
    <row r="23" ht="25.5" customHeight="1" spans="1:8">
      <c r="A23" s="104" t="str">
        <f ca="1">IF(G23="CNY","总计人民币:",IF(G23="USD","总计美元: ","  "))</f>
        <v>  </v>
      </c>
      <c r="B23" s="104"/>
      <c r="C23" s="105">
        <f ca="1">H23</f>
        <v>24242</v>
      </c>
      <c r="D23" s="105"/>
      <c r="E23" s="105"/>
      <c r="F23" s="106" t="s">
        <v>221</v>
      </c>
      <c r="G23" s="107" t="str">
        <f ca="1">G9</f>
        <v>美元</v>
      </c>
      <c r="H23" s="108">
        <f ca="1">SUM(H9:H22)</f>
        <v>24242</v>
      </c>
    </row>
    <row r="24" spans="1:8">
      <c r="A24" s="109" t="s">
        <v>222</v>
      </c>
      <c r="B24" s="110"/>
      <c r="C24" s="111"/>
      <c r="D24" s="112"/>
      <c r="E24" s="112"/>
      <c r="F24" s="113" t="s">
        <v>121</v>
      </c>
      <c r="G24" s="113"/>
      <c r="H24" s="113"/>
    </row>
    <row r="25" spans="1:8">
      <c r="A25" s="110"/>
      <c r="B25" s="110"/>
      <c r="C25" s="111"/>
      <c r="D25" s="112"/>
      <c r="E25" s="112"/>
      <c r="F25" s="113"/>
      <c r="G25" s="113"/>
      <c r="H25" s="113"/>
    </row>
    <row r="26" ht="12" customHeight="1" spans="1:8">
      <c r="A26" s="110"/>
      <c r="B26" s="110"/>
      <c r="C26" s="112"/>
      <c r="D26" s="112"/>
      <c r="E26" s="112"/>
      <c r="F26" s="112"/>
      <c r="G26" s="112"/>
      <c r="H26" s="112"/>
    </row>
    <row r="27" spans="1:8">
      <c r="A27" s="114"/>
      <c r="B27" s="114"/>
      <c r="C27" s="114"/>
      <c r="D27" s="114"/>
      <c r="E27" s="114"/>
      <c r="F27" s="114"/>
      <c r="G27" s="114"/>
      <c r="H27" s="114"/>
    </row>
    <row r="28" spans="1:8">
      <c r="A28" s="114"/>
      <c r="B28" s="114"/>
      <c r="C28" s="114"/>
      <c r="D28" s="114"/>
      <c r="E28" s="114"/>
      <c r="F28" s="114"/>
      <c r="G28" s="114"/>
      <c r="H28" s="114"/>
    </row>
    <row r="32" ht="3.75" customHeight="1"/>
  </sheetData>
  <mergeCells count="17">
    <mergeCell ref="A2:H2"/>
    <mergeCell ref="G3:H3"/>
    <mergeCell ref="A4:B4"/>
    <mergeCell ref="C4:D4"/>
    <mergeCell ref="G4:H4"/>
    <mergeCell ref="C5:D5"/>
    <mergeCell ref="F5:H5"/>
    <mergeCell ref="B6:C6"/>
    <mergeCell ref="A8:B8"/>
    <mergeCell ref="D8:E8"/>
    <mergeCell ref="G8:H8"/>
    <mergeCell ref="A23:B23"/>
    <mergeCell ref="C23:E23"/>
    <mergeCell ref="C24:C25"/>
    <mergeCell ref="A24:B26"/>
    <mergeCell ref="F24:H25"/>
    <mergeCell ref="A9:B22"/>
  </mergeCells>
  <pageMargins left="0.31" right="0.2" top="0.35" bottom="0.24" header="0.24" footer="0.08"/>
  <pageSetup paperSize="9" orientation="portrait"/>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showZeros="0" view="pageBreakPreview" zoomScaleNormal="100" topLeftCell="A3" workbookViewId="0">
      <selection activeCell="J10" sqref="J10"/>
    </sheetView>
  </sheetViews>
  <sheetFormatPr defaultColWidth="9" defaultRowHeight="15.35"/>
  <cols>
    <col min="1" max="1" width="11.5" style="27" customWidth="1"/>
    <col min="2" max="2" width="23" style="27" customWidth="1"/>
    <col min="3" max="3" width="12.25" style="27" customWidth="1"/>
    <col min="4" max="4" width="8.625" style="28" customWidth="1"/>
    <col min="5" max="5" width="4.125" style="29" customWidth="1"/>
    <col min="6" max="6" width="13.5" style="27" customWidth="1"/>
    <col min="7" max="7" width="18.125" style="27" customWidth="1"/>
    <col min="8" max="8" width="9" style="27"/>
    <col min="9" max="10" width="12.625" style="27"/>
    <col min="11" max="16384" width="9" style="27"/>
  </cols>
  <sheetData>
    <row r="1" ht="51" customHeight="1"/>
    <row r="2" ht="36" customHeight="1" spans="1:11">
      <c r="B2" s="30" t="s">
        <v>223</v>
      </c>
      <c r="C2" s="30"/>
      <c r="D2" s="30"/>
      <c r="E2" s="31"/>
    </row>
    <row r="3" ht="33" customHeight="1" spans="1:11">
      <c r="A3" s="32"/>
      <c r="B3" s="30"/>
      <c r="C3" s="30"/>
      <c r="D3" s="30"/>
      <c r="E3" s="31"/>
      <c r="F3" s="33" t="s">
        <v>224</v>
      </c>
      <c r="G3" s="34">
        <f ca="1">报关单!L3</f>
        <v>46161</v>
      </c>
    </row>
    <row r="4" ht="30" customHeight="1" spans="1:11">
      <c r="A4" s="35"/>
      <c r="B4" s="36"/>
      <c r="C4" s="37"/>
      <c r="D4" s="38"/>
      <c r="E4" s="39"/>
      <c r="F4" s="40" t="s">
        <v>225</v>
      </c>
      <c r="G4" s="41" t="str">
        <f>发票!G3</f>
        <v>PK-260512006</v>
      </c>
    </row>
    <row r="5" ht="29.25" customHeight="1" spans="1:11">
      <c r="A5" s="33" t="s">
        <v>226</v>
      </c>
      <c r="B5" s="42" t="str">
        <f>发票!C4</f>
        <v>DURNERGY Inc.</v>
      </c>
      <c r="C5" s="42"/>
      <c r="D5" s="42"/>
      <c r="E5" s="42"/>
      <c r="F5" s="40" t="s">
        <v>227</v>
      </c>
      <c r="G5" s="43" t="str">
        <f>发票!G3</f>
        <v>PK-260512006</v>
      </c>
    </row>
    <row r="6" ht="11.1" customHeight="1" spans="1:11">
      <c r="A6" s="44"/>
      <c r="B6" s="45"/>
      <c r="C6" s="45" t="s">
        <v>228</v>
      </c>
      <c r="D6" s="46"/>
      <c r="E6" s="47"/>
      <c r="F6" s="48"/>
      <c r="G6" s="49"/>
      <c r="I6" s="28"/>
    </row>
    <row r="7" ht="46.9" spans="1:11">
      <c r="A7" s="50" t="s">
        <v>229</v>
      </c>
      <c r="B7" s="51"/>
      <c r="C7" s="52" t="s">
        <v>230</v>
      </c>
      <c r="D7" s="46" t="str">
        <f>报关单!M20</f>
        <v>美国</v>
      </c>
      <c r="E7" s="53"/>
      <c r="F7" s="54" t="s">
        <v>231</v>
      </c>
      <c r="G7" s="55" t="str">
        <f>报关单!Y4</f>
        <v>电汇</v>
      </c>
      <c r="H7" s="25"/>
    </row>
    <row r="8" ht="3.95" customHeight="1" spans="1:11">
      <c r="A8" s="50"/>
      <c r="B8" s="56"/>
      <c r="C8" s="52"/>
      <c r="D8" s="46"/>
      <c r="E8" s="53"/>
      <c r="F8" s="54"/>
      <c r="G8" s="57"/>
      <c r="H8" s="25"/>
    </row>
    <row r="9" s="25" customFormat="1" ht="30" customHeight="1" spans="1:11">
      <c r="A9" s="58" t="s">
        <v>232</v>
      </c>
      <c r="B9" s="59" t="s">
        <v>233</v>
      </c>
      <c r="C9" s="60" t="s">
        <v>234</v>
      </c>
      <c r="D9" s="59" t="s">
        <v>235</v>
      </c>
      <c r="E9" s="61"/>
      <c r="F9" s="62" t="s">
        <v>236</v>
      </c>
      <c r="G9" s="59" t="s">
        <v>237</v>
      </c>
    </row>
    <row r="10" s="26" customFormat="1" ht="30" customHeight="1" spans="1:11">
      <c r="A10" s="63">
        <f>发票!A9</f>
        <v>0</v>
      </c>
      <c r="B10" s="64" t="str">
        <f ca="1">发票!C9</f>
        <v>锂电池</v>
      </c>
      <c r="C10" s="65">
        <v>25</v>
      </c>
      <c r="D10" s="66">
        <f ca="1">发票!D9</f>
        <v>28520</v>
      </c>
      <c r="E10" s="67" t="str">
        <f ca="1">发票!E9</f>
        <v>个</v>
      </c>
      <c r="F10" s="68">
        <f>24*8.4+8.6</f>
        <v>210.2</v>
      </c>
      <c r="G10" s="65">
        <f>F10-C10*0.5</f>
        <v>197.7</v>
      </c>
      <c r="H10" s="69">
        <f>250/1000*3.7</f>
        <v>0.925</v>
      </c>
      <c r="I10" s="26">
        <f ca="1">G10/D10</f>
        <v>0.00693197755960729</v>
      </c>
      <c r="J10" s="26">
        <f ca="1">H10/I10</f>
        <v>133.439554881133</v>
      </c>
      <c r="K10" s="26">
        <v>251.93</v>
      </c>
    </row>
    <row r="11" s="26" customFormat="1" ht="30" customHeight="1" spans="1:11">
      <c r="A11" s="63"/>
      <c r="B11" s="64">
        <f ca="1">发票!C17</f>
        <v>0</v>
      </c>
      <c r="C11" s="70"/>
      <c r="D11" s="71">
        <f ca="1">发票!D17</f>
        <v>0</v>
      </c>
      <c r="E11" s="72">
        <f ca="1">发票!E16</f>
        <v>0</v>
      </c>
      <c r="F11" s="73"/>
      <c r="G11" s="70"/>
      <c r="H11" s="69"/>
    </row>
    <row r="12" s="26" customFormat="1" ht="30" customHeight="1" spans="1:11">
      <c r="A12" s="63"/>
      <c r="B12" s="64">
        <f ca="1">发票!C18</f>
        <v>0</v>
      </c>
      <c r="C12" s="70"/>
      <c r="D12" s="71">
        <f ca="1">发票!D18</f>
        <v>0</v>
      </c>
      <c r="E12" s="72">
        <f ca="1">发票!E17</f>
        <v>0</v>
      </c>
      <c r="F12" s="73"/>
      <c r="G12" s="70"/>
      <c r="H12" s="69"/>
    </row>
    <row r="13" s="26" customFormat="1" ht="30" customHeight="1" spans="1:11">
      <c r="A13" s="63"/>
      <c r="B13" s="64">
        <f ca="1">发票!C19</f>
        <v>0</v>
      </c>
      <c r="C13" s="70"/>
      <c r="D13" s="71">
        <f ca="1">发票!D19</f>
        <v>0</v>
      </c>
      <c r="E13" s="72">
        <f ca="1">发票!E18</f>
        <v>0</v>
      </c>
      <c r="F13" s="73"/>
      <c r="G13" s="70"/>
      <c r="H13" s="69"/>
    </row>
    <row r="14" s="26" customFormat="1" ht="30" customHeight="1" spans="1:11">
      <c r="A14" s="63"/>
      <c r="B14" s="64">
        <f ca="1">发票!C20</f>
        <v>0</v>
      </c>
      <c r="C14" s="70"/>
      <c r="D14" s="71">
        <f ca="1">发票!D20</f>
        <v>0</v>
      </c>
      <c r="E14" s="72">
        <f ca="1">发票!E19</f>
        <v>0</v>
      </c>
      <c r="F14" s="73"/>
      <c r="G14" s="70"/>
      <c r="H14" s="69"/>
    </row>
    <row r="15" s="26" customFormat="1" ht="30" customHeight="1" spans="1:11">
      <c r="A15" s="63"/>
      <c r="B15" s="64">
        <f ca="1">发票!C21</f>
        <v>0</v>
      </c>
      <c r="C15" s="70"/>
      <c r="D15" s="71">
        <f ca="1">发票!D21</f>
        <v>0</v>
      </c>
      <c r="E15" s="72">
        <f ca="1">发票!E20</f>
        <v>0</v>
      </c>
      <c r="F15" s="73"/>
      <c r="G15" s="70"/>
      <c r="H15" s="69"/>
    </row>
    <row r="16" s="26" customFormat="1" ht="30" customHeight="1" spans="1:11">
      <c r="A16" s="63"/>
      <c r="B16" s="64">
        <f ca="1">发票!C22</f>
        <v>0</v>
      </c>
      <c r="C16" s="70"/>
      <c r="D16" s="71">
        <f ca="1">发票!D22</f>
        <v>0</v>
      </c>
      <c r="E16" s="72">
        <f ca="1">发票!E21</f>
        <v>0</v>
      </c>
      <c r="F16" s="73"/>
      <c r="G16" s="70"/>
      <c r="H16" s="69"/>
    </row>
    <row r="17" s="26" customFormat="1" ht="30" customHeight="1" spans="1:8">
      <c r="A17" s="63"/>
      <c r="B17" s="64"/>
      <c r="C17" s="70"/>
      <c r="D17" s="71">
        <f>发票!D23</f>
        <v>0</v>
      </c>
      <c r="E17" s="72">
        <f ca="1">发票!E22</f>
        <v>0</v>
      </c>
      <c r="F17" s="73"/>
      <c r="G17" s="70"/>
      <c r="H17" s="69"/>
    </row>
    <row r="18" s="25" customFormat="1" ht="29.1" customHeight="1" spans="1:8">
      <c r="A18" s="74" t="s">
        <v>238</v>
      </c>
      <c r="B18" s="75"/>
      <c r="C18" s="76">
        <f>SUM(C10:C17)</f>
        <v>25</v>
      </c>
      <c r="D18" s="77">
        <f ca="1">SUM(D10:D17)</f>
        <v>28520</v>
      </c>
      <c r="E18" s="77"/>
      <c r="F18" s="78">
        <f>SUM(F10:F17)</f>
        <v>210.2</v>
      </c>
      <c r="G18" s="78">
        <f>SUM(G10:G17)</f>
        <v>197.7</v>
      </c>
    </row>
    <row r="19" ht="18.95" customHeight="1" spans="1:8">
      <c r="A19" s="79" t="s">
        <v>222</v>
      </c>
      <c r="B19" s="53">
        <f>A10</f>
        <v>0</v>
      </c>
      <c r="C19" s="53"/>
      <c r="D19" s="80"/>
      <c r="E19" s="53"/>
      <c r="F19" s="53"/>
      <c r="G19" s="53"/>
      <c r="H19" s="25"/>
    </row>
    <row r="20" ht="18.95" customHeight="1" spans="1:8">
      <c r="A20" s="79"/>
      <c r="B20" s="53"/>
      <c r="C20" s="53"/>
      <c r="D20" s="80"/>
      <c r="E20" s="53"/>
      <c r="F20" s="53"/>
      <c r="G20" s="53"/>
      <c r="H20" s="25"/>
    </row>
    <row r="21" spans="1:8">
      <c r="A21" s="26"/>
      <c r="B21" s="26"/>
      <c r="C21" s="26"/>
      <c r="D21" s="80"/>
      <c r="E21" s="81"/>
      <c r="F21" s="26"/>
      <c r="G21" s="26"/>
      <c r="H21" s="25"/>
    </row>
    <row r="22" spans="1:8">
      <c r="A22" s="26"/>
      <c r="B22" s="26"/>
      <c r="C22" s="26"/>
      <c r="D22" s="82"/>
      <c r="E22" s="81"/>
      <c r="F22" s="26"/>
      <c r="G22" s="26"/>
      <c r="H22" s="25"/>
    </row>
    <row r="23" spans="1:8">
      <c r="A23" s="26"/>
      <c r="B23" s="26"/>
      <c r="C23" s="26"/>
      <c r="D23" s="82"/>
      <c r="E23" s="81"/>
      <c r="F23" s="26"/>
      <c r="G23" s="26"/>
      <c r="H23" s="25"/>
    </row>
    <row r="24" spans="1:8">
      <c r="A24" s="26"/>
      <c r="B24" s="26"/>
      <c r="C24" s="26"/>
      <c r="D24" s="82"/>
      <c r="E24" s="81"/>
      <c r="F24" s="26"/>
      <c r="G24" s="26"/>
    </row>
    <row r="25" spans="1:8">
      <c r="A25" s="26"/>
      <c r="B25" s="26"/>
      <c r="C25" s="26"/>
      <c r="D25" s="82"/>
      <c r="E25" s="81"/>
      <c r="F25" s="26"/>
      <c r="G25" s="26"/>
    </row>
    <row r="26" spans="1:8">
      <c r="A26" s="26"/>
      <c r="B26" s="26"/>
      <c r="C26" s="26"/>
      <c r="D26" s="82"/>
      <c r="E26" s="81"/>
      <c r="F26" s="26"/>
      <c r="G26" s="26"/>
    </row>
    <row r="27" spans="1:8">
      <c r="A27" s="26"/>
      <c r="B27" s="26"/>
      <c r="C27" s="26"/>
      <c r="D27" s="82"/>
      <c r="E27" s="81"/>
      <c r="F27" s="26"/>
      <c r="G27" s="26"/>
    </row>
    <row r="28" spans="1:8">
      <c r="A28" s="26"/>
      <c r="B28" s="26"/>
      <c r="C28" s="26"/>
      <c r="D28" s="82"/>
      <c r="E28" s="81"/>
      <c r="F28" s="26"/>
      <c r="G28" s="26"/>
    </row>
    <row r="29" spans="1:8">
      <c r="A29" s="26"/>
      <c r="B29" s="26"/>
      <c r="C29" s="26"/>
      <c r="D29" s="82"/>
      <c r="E29" s="81"/>
      <c r="F29" s="26"/>
      <c r="G29" s="26"/>
    </row>
    <row r="30" spans="1:8">
      <c r="A30" s="26"/>
      <c r="B30" s="26"/>
      <c r="C30" s="26"/>
      <c r="D30" s="82"/>
      <c r="E30" s="81"/>
      <c r="F30" s="26"/>
      <c r="G30" s="26"/>
    </row>
    <row r="31" spans="1:8">
      <c r="A31" s="26"/>
      <c r="B31" s="26"/>
      <c r="C31" s="26"/>
      <c r="D31" s="82"/>
      <c r="E31" s="81"/>
      <c r="F31" s="26"/>
      <c r="G31" s="26"/>
    </row>
  </sheetData>
  <mergeCells count="8">
    <mergeCell ref="B5:E5"/>
    <mergeCell ref="D6:E6"/>
    <mergeCell ref="D7:E7"/>
    <mergeCell ref="D9:E9"/>
    <mergeCell ref="A10:A17"/>
    <mergeCell ref="A19:A20"/>
    <mergeCell ref="B2:E3"/>
    <mergeCell ref="B19:G20"/>
  </mergeCells>
  <pageMargins left="0.2" right="0.16" top="0.24" bottom="0.2" header="0.2" footer="0.08"/>
  <pageSetup paperSize="9" orientation="portrait"/>
  <headerFooter/>
  <ignoredErrors>
    <ignoredError sqref="E12:E17" unlockedFormula="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7"/>
  <sheetViews>
    <sheetView showZeros="0" view="pageBreakPreview" zoomScaleNormal="100" workbookViewId="0">
      <selection activeCell="D14" sqref="D14:D15"/>
    </sheetView>
  </sheetViews>
  <sheetFormatPr defaultColWidth="9" defaultRowHeight="15.75"/>
  <cols>
    <col min="1" max="1" width="9" style="7"/>
    <col min="2" max="2" width="12.25" style="7" customWidth="1"/>
    <col min="3" max="3" width="14" style="7" customWidth="1"/>
    <col min="4" max="4" width="9.75" style="7" customWidth="1"/>
    <col min="5" max="5" width="10.625" style="7" customWidth="1"/>
    <col min="6" max="6" width="10.125" style="7" customWidth="1"/>
    <col min="7" max="7" width="10.375" style="8" customWidth="1"/>
    <col min="8" max="8" width="13.875" style="7" customWidth="1"/>
    <col min="9" max="9" width="69.25" style="7" customWidth="1"/>
    <col min="10" max="16384" width="9" style="9"/>
  </cols>
  <sheetData>
    <row r="1" s="5" customFormat="1" spans="1:9">
      <c r="A1" s="10" t="s">
        <v>239</v>
      </c>
      <c r="G1" s="11"/>
    </row>
    <row r="2" s="5" customFormat="1" spans="1:9">
      <c r="A2" s="12" t="s">
        <v>240</v>
      </c>
      <c r="G2" s="11"/>
    </row>
    <row r="3" s="5" customFormat="1" spans="1:9">
      <c r="A3" s="13" t="s">
        <v>241</v>
      </c>
      <c r="G3" s="11"/>
    </row>
    <row r="4" s="5" customFormat="1" spans="1:9">
      <c r="B4" s="14"/>
      <c r="C4" s="14" t="s">
        <v>120</v>
      </c>
      <c r="G4" s="11"/>
    </row>
    <row r="5" s="5" customFormat="1" spans="1:9">
      <c r="A5" s="5" t="s">
        <v>242</v>
      </c>
      <c r="B5" s="14"/>
      <c r="C5" s="14" t="s">
        <v>123</v>
      </c>
      <c r="G5" s="11"/>
    </row>
    <row r="6" s="5" customFormat="1" spans="1:9">
      <c r="G6" s="11"/>
    </row>
    <row r="8" ht="25.1" spans="1:9">
      <c r="A8" s="15" t="s">
        <v>243</v>
      </c>
      <c r="B8" s="15"/>
      <c r="C8" s="15"/>
      <c r="D8" s="15"/>
      <c r="E8" s="15"/>
      <c r="F8" s="15"/>
      <c r="G8" s="16"/>
      <c r="H8" s="15"/>
      <c r="I8" s="15"/>
    </row>
    <row r="9" s="6" customFormat="1" ht="12.75" spans="1:9">
      <c r="A9" s="17" t="s">
        <v>244</v>
      </c>
      <c r="B9" s="17" t="s">
        <v>245</v>
      </c>
      <c r="C9" s="17" t="s">
        <v>246</v>
      </c>
      <c r="D9" s="17" t="s">
        <v>247</v>
      </c>
      <c r="E9" s="17" t="s">
        <v>248</v>
      </c>
      <c r="F9" s="17" t="s">
        <v>249</v>
      </c>
      <c r="G9" s="18" t="s">
        <v>250</v>
      </c>
      <c r="H9" s="17" t="s">
        <v>251</v>
      </c>
      <c r="I9" s="17" t="s">
        <v>252</v>
      </c>
    </row>
    <row r="10" spans="1:9">
      <c r="A10" s="19">
        <v>1</v>
      </c>
      <c r="B10" s="19"/>
      <c r="C10" s="19"/>
      <c r="D10" s="19"/>
      <c r="E10" s="19"/>
      <c r="F10" s="19"/>
      <c r="G10" s="20" t="s">
        <v>253</v>
      </c>
      <c r="H10" s="21" t="s">
        <v>254</v>
      </c>
      <c r="I10" s="19"/>
    </row>
    <row r="11" spans="1:9">
      <c r="A11" s="19">
        <v>2</v>
      </c>
      <c r="B11" s="19"/>
      <c r="C11" s="19"/>
      <c r="D11" s="19"/>
      <c r="E11" s="19"/>
      <c r="F11" s="19"/>
      <c r="G11" s="22" t="s">
        <v>255</v>
      </c>
      <c r="H11" s="21" t="s">
        <v>256</v>
      </c>
      <c r="I11" s="19"/>
    </row>
    <row r="12" spans="1:9">
      <c r="A12" s="19">
        <v>3</v>
      </c>
      <c r="B12" s="19"/>
      <c r="C12" s="19"/>
      <c r="D12" s="19"/>
      <c r="E12" s="19"/>
      <c r="F12" s="19"/>
      <c r="G12" s="20" t="s">
        <v>257</v>
      </c>
      <c r="H12" s="23" t="s">
        <v>258</v>
      </c>
      <c r="I12" s="19"/>
    </row>
    <row r="13" spans="1:9">
      <c r="A13" s="19">
        <v>4</v>
      </c>
      <c r="B13" s="19"/>
      <c r="C13" s="19"/>
      <c r="D13" s="19"/>
      <c r="E13" s="19"/>
      <c r="F13" s="19"/>
      <c r="G13" s="20" t="s">
        <v>259</v>
      </c>
      <c r="H13" s="19"/>
      <c r="I13" s="19"/>
    </row>
    <row r="14" spans="1:9">
      <c r="A14" s="19">
        <v>5</v>
      </c>
      <c r="B14" s="19"/>
      <c r="C14" s="19"/>
      <c r="D14" s="19"/>
      <c r="E14" s="19"/>
      <c r="F14" s="19"/>
      <c r="G14" s="20" t="s">
        <v>260</v>
      </c>
      <c r="H14" s="19"/>
      <c r="I14" s="19"/>
    </row>
    <row r="15" spans="1:9">
      <c r="A15" s="19">
        <v>6</v>
      </c>
      <c r="B15" s="19"/>
      <c r="C15" s="19"/>
      <c r="D15" s="19"/>
      <c r="E15" s="19"/>
      <c r="F15" s="19"/>
      <c r="G15" s="24"/>
      <c r="H15" s="19"/>
      <c r="I15" s="19"/>
    </row>
    <row r="16" spans="1:9">
      <c r="A16" s="19">
        <v>7</v>
      </c>
      <c r="B16" s="19"/>
      <c r="C16" s="19"/>
      <c r="D16" s="19"/>
      <c r="E16" s="19"/>
      <c r="F16" s="19"/>
      <c r="G16" s="24"/>
      <c r="H16" s="19"/>
      <c r="I16" s="19"/>
    </row>
    <row r="17" spans="1:9">
      <c r="A17" s="19">
        <v>8</v>
      </c>
      <c r="B17" s="19"/>
      <c r="C17" s="19"/>
      <c r="D17" s="19"/>
      <c r="E17" s="19"/>
      <c r="F17" s="19"/>
      <c r="G17" s="24"/>
      <c r="H17" s="19"/>
      <c r="I17" s="19"/>
    </row>
  </sheetData>
  <mergeCells count="1">
    <mergeCell ref="A8:I8"/>
  </mergeCells>
  <hyperlinks>
    <hyperlink ref="B4" r:id="rId2"/>
    <hyperlink ref="C5" r:id="rId3" display="http://www.hscode.net/IntegrateQueries/QueryYS/"/>
    <hyperlink ref="C4" r:id="rId2" display="https://e-service.shciq.gov.cn/shesp/"/>
  </hyperlinks>
  <pageMargins left="0.39" right="0.39" top="0.43" bottom="1" header="0.24" footer="0.51"/>
  <pageSetup paperSize="9" scale="82"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topLeftCell="A31" workbookViewId="0">
      <selection activeCell="B6" sqref="B6"/>
    </sheetView>
  </sheetViews>
  <sheetFormatPr defaultColWidth="9" defaultRowHeight="15.75" outlineLevelCol="1"/>
  <cols>
    <col min="1" max="1" width="22.125" style="1" customWidth="1"/>
    <col min="2" max="2" width="179.25" style="1" customWidth="1"/>
    <col min="3" max="16384" width="9" style="1"/>
  </cols>
  <sheetData>
    <row r="1" spans="1:2">
      <c r="A1" s="1" t="s">
        <v>261</v>
      </c>
      <c r="B1" s="1" t="s">
        <v>262</v>
      </c>
    </row>
    <row r="3" spans="1:2">
      <c r="A3" s="1" t="s">
        <v>263</v>
      </c>
      <c r="B3" s="1" t="s">
        <v>264</v>
      </c>
    </row>
    <row r="5" spans="1:2">
      <c r="A5" s="2" t="s">
        <v>265</v>
      </c>
      <c r="B5" s="1" t="s">
        <v>266</v>
      </c>
    </row>
    <row r="7" spans="1:2">
      <c r="A7" s="1" t="s">
        <v>54</v>
      </c>
      <c r="B7" s="1" t="s">
        <v>267</v>
      </c>
    </row>
    <row r="9" spans="1:2">
      <c r="A9" s="2" t="s">
        <v>268</v>
      </c>
      <c r="B9" s="2" t="s">
        <v>269</v>
      </c>
    </row>
    <row r="11" spans="1:2">
      <c r="A11" s="2" t="s">
        <v>270</v>
      </c>
      <c r="B11" s="3" t="s">
        <v>271</v>
      </c>
    </row>
    <row r="13" spans="1:2">
      <c r="A13" s="1" t="s">
        <v>272</v>
      </c>
      <c r="B13" s="1" t="s">
        <v>273</v>
      </c>
    </row>
    <row r="15" spans="1:2">
      <c r="A15" s="1" t="s">
        <v>274</v>
      </c>
      <c r="B15" s="1" t="s">
        <v>275</v>
      </c>
    </row>
    <row r="17" spans="1:2">
      <c r="A17" s="1" t="s">
        <v>75</v>
      </c>
      <c r="B17" s="1" t="s">
        <v>276</v>
      </c>
    </row>
    <row r="19" spans="1:2">
      <c r="A19" s="3" t="s">
        <v>277</v>
      </c>
      <c r="B19" s="3" t="s">
        <v>278</v>
      </c>
    </row>
    <row r="21" spans="1:2">
      <c r="A21" s="1" t="s">
        <v>83</v>
      </c>
      <c r="B21" s="1" t="s">
        <v>279</v>
      </c>
    </row>
    <row r="23" spans="1:2">
      <c r="A23" s="4" t="s">
        <v>84</v>
      </c>
      <c r="B23" s="3" t="s">
        <v>280</v>
      </c>
    </row>
    <row r="25" spans="1:2">
      <c r="A25" s="1" t="s">
        <v>281</v>
      </c>
      <c r="B25" s="1" t="s">
        <v>282</v>
      </c>
    </row>
    <row r="27" spans="1:2">
      <c r="A27" s="1" t="s">
        <v>283</v>
      </c>
      <c r="B27" s="1" t="s">
        <v>284</v>
      </c>
    </row>
    <row r="29" spans="1:2">
      <c r="A29" s="2" t="s">
        <v>285</v>
      </c>
      <c r="B29" s="3" t="s">
        <v>286</v>
      </c>
    </row>
    <row r="31" spans="1:2">
      <c r="A31" s="1" t="s">
        <v>287</v>
      </c>
      <c r="B31" s="3" t="s">
        <v>288</v>
      </c>
    </row>
    <row r="33" spans="1:2">
      <c r="A33" s="1" t="s">
        <v>289</v>
      </c>
      <c r="B33" s="1" t="s">
        <v>290</v>
      </c>
    </row>
    <row r="35" spans="1:2">
      <c r="A35" s="1" t="s">
        <v>291</v>
      </c>
      <c r="B35" s="1" t="s">
        <v>292</v>
      </c>
    </row>
    <row r="37" spans="1:2">
      <c r="A37" s="1" t="s">
        <v>97</v>
      </c>
      <c r="B37" s="1" t="s">
        <v>293</v>
      </c>
    </row>
    <row r="39" spans="1:2">
      <c r="A39" s="1" t="s">
        <v>98</v>
      </c>
      <c r="B39" s="1" t="s">
        <v>294</v>
      </c>
    </row>
    <row r="41" spans="1:2">
      <c r="A41" s="1" t="s">
        <v>99</v>
      </c>
      <c r="B41" s="1" t="s">
        <v>295</v>
      </c>
    </row>
    <row r="43" spans="1:2">
      <c r="A43" s="1" t="s">
        <v>100</v>
      </c>
      <c r="B43" s="1" t="s">
        <v>296</v>
      </c>
    </row>
    <row r="45" spans="1:2">
      <c r="A45" s="1" t="s">
        <v>101</v>
      </c>
      <c r="B45" s="1" t="s">
        <v>297</v>
      </c>
    </row>
    <row r="47" spans="1:2">
      <c r="A47" s="1" t="s">
        <v>103</v>
      </c>
      <c r="B47" s="1" t="s">
        <v>298</v>
      </c>
    </row>
    <row r="49" spans="1:2">
      <c r="A49" s="1" t="s">
        <v>104</v>
      </c>
      <c r="B49" s="1" t="s">
        <v>299</v>
      </c>
    </row>
    <row r="51" spans="1:2">
      <c r="A51" s="1" t="s">
        <v>105</v>
      </c>
      <c r="B51" s="1" t="s">
        <v>300</v>
      </c>
    </row>
    <row r="53" spans="1:2">
      <c r="A53" s="1" t="s">
        <v>112</v>
      </c>
      <c r="B53" s="1" t="s">
        <v>301</v>
      </c>
    </row>
    <row r="55" spans="1:2">
      <c r="A55" s="1" t="s">
        <v>302</v>
      </c>
      <c r="B55" s="1" t="s">
        <v>303</v>
      </c>
    </row>
    <row r="57" spans="1:2">
      <c r="A57" s="1" t="s">
        <v>133</v>
      </c>
      <c r="B57" s="1" t="s">
        <v>304</v>
      </c>
    </row>
    <row r="59" spans="1:2">
      <c r="A59" s="2" t="s">
        <v>134</v>
      </c>
      <c r="B59" s="2" t="s">
        <v>305</v>
      </c>
    </row>
    <row r="61" spans="1:2">
      <c r="A61" s="1" t="s">
        <v>135</v>
      </c>
      <c r="B61" s="1" t="s">
        <v>306</v>
      </c>
    </row>
    <row r="63" spans="1:2">
      <c r="A63" s="4" t="s">
        <v>250</v>
      </c>
      <c r="B63" s="1" t="s">
        <v>307</v>
      </c>
    </row>
    <row r="65" spans="1:2">
      <c r="A65" s="4" t="s">
        <v>251</v>
      </c>
      <c r="B65" s="1" t="s">
        <v>308</v>
      </c>
    </row>
    <row r="67" spans="1:2">
      <c r="A67" s="1" t="s">
        <v>136</v>
      </c>
      <c r="B67" s="3" t="s">
        <v>309</v>
      </c>
    </row>
    <row r="69" spans="1:2">
      <c r="A69" s="1" t="s">
        <v>310</v>
      </c>
      <c r="B69" s="3" t="s">
        <v>311</v>
      </c>
    </row>
    <row r="71" spans="1:2">
      <c r="A71" s="1" t="s">
        <v>312</v>
      </c>
      <c r="B71" s="3" t="s">
        <v>313</v>
      </c>
    </row>
    <row r="73" spans="1:2">
      <c r="A73" s="1" t="s">
        <v>314</v>
      </c>
      <c r="B73" s="1" t="s">
        <v>315</v>
      </c>
    </row>
    <row r="75" spans="1:2">
      <c r="A75" s="1" t="s">
        <v>138</v>
      </c>
      <c r="B75" s="1" t="s">
        <v>316</v>
      </c>
    </row>
    <row r="77" spans="1:2">
      <c r="A77" s="1" t="s">
        <v>139</v>
      </c>
      <c r="B77" s="3" t="s">
        <v>317</v>
      </c>
    </row>
    <row r="79" spans="1:2">
      <c r="A79" s="1" t="s">
        <v>318</v>
      </c>
      <c r="B79" s="1" t="s">
        <v>319</v>
      </c>
    </row>
    <row r="81" spans="1:2">
      <c r="A81" s="1" t="s">
        <v>320</v>
      </c>
      <c r="B81" s="3" t="s">
        <v>321</v>
      </c>
    </row>
    <row r="83" spans="1:2">
      <c r="A83" s="1" t="s">
        <v>141</v>
      </c>
      <c r="B83" s="1" t="s">
        <v>322</v>
      </c>
    </row>
    <row r="85" spans="1:2">
      <c r="A85" s="4" t="s">
        <v>323</v>
      </c>
      <c r="B85" s="2" t="s">
        <v>324</v>
      </c>
    </row>
    <row r="86" spans="1:2">
      <c r="A86" s="4"/>
    </row>
    <row r="87" spans="1:2">
      <c r="A87" s="4" t="s">
        <v>325</v>
      </c>
      <c r="B87" s="2" t="s">
        <v>326</v>
      </c>
    </row>
    <row r="88" spans="1:2">
      <c r="A88" s="4"/>
    </row>
    <row r="89" spans="1:2">
      <c r="A89" s="4" t="s">
        <v>327</v>
      </c>
      <c r="B89" s="2" t="s">
        <v>328</v>
      </c>
    </row>
    <row r="90" spans="1:2">
      <c r="A90" s="2"/>
    </row>
    <row r="91" spans="1:2">
      <c r="A91" s="2" t="s">
        <v>329</v>
      </c>
      <c r="B91" s="1" t="s">
        <v>330</v>
      </c>
    </row>
  </sheetData>
  <pageMargins left="0.75" right="0.75" top="1" bottom="1" header="0.51" footer="0.51"/>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7</vt:i4>
      </vt:variant>
    </vt:vector>
  </HeadingPairs>
  <TitlesOfParts>
    <vt:vector size="7" baseType="lpstr">
      <vt:lpstr>委托书</vt:lpstr>
      <vt:lpstr>报关单</vt:lpstr>
      <vt:lpstr>合同</vt:lpstr>
      <vt:lpstr>发票</vt:lpstr>
      <vt:lpstr>箱单</vt:lpstr>
      <vt:lpstr>申报要素</vt:lpstr>
      <vt:lpstr>填制规范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MRS.曳晨</cp:lastModifiedBy>
  <dcterms:created xsi:type="dcterms:W3CDTF">2018-07-03T02:44:44Z</dcterms:created>
  <dcterms:modified xsi:type="dcterms:W3CDTF">2026-05-19T10:49:51Z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3B18C3D8C30F44B3BBE67F871A97EDCE_13</vt:lpwstr>
  </property>
  <property fmtid="{D5CDD505-2E9C-101B-9397-08002B2CF9AE}" pid="4" name="CalculationRule">
    <vt:i4>0</vt:i4>
  </property>
</Properties>
</file>